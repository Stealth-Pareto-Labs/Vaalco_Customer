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50D8A109-8A6B-498F-893D-DC29B6F61DFC}"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4" i="12" l="1"/>
  <c r="C73" i="12"/>
  <c r="C72" i="12"/>
  <c r="C71" i="12"/>
  <c r="C70" i="12"/>
  <c r="D65" i="12"/>
  <c r="D64" i="12"/>
  <c r="D63" i="12"/>
  <c r="D60" i="12"/>
  <c r="D59" i="12"/>
  <c r="D61" i="12"/>
  <c r="D62" i="12"/>
  <c r="D66" i="12"/>
  <c r="D49" i="12" l="1"/>
  <c r="D48" i="12"/>
  <c r="D47" i="12"/>
  <c r="D45" i="12"/>
  <c r="D42" i="12"/>
  <c r="D44" i="12"/>
  <c r="D46" i="12"/>
  <c r="D41" i="12"/>
  <c r="D40" i="12"/>
  <c r="D43" i="12" l="1"/>
  <c r="E33" i="12"/>
  <c r="G25" i="12" l="1"/>
  <c r="G28" i="12" l="1"/>
  <c r="G29" i="12"/>
  <c r="G30" i="12"/>
  <c r="F49" i="12"/>
  <c r="E49" i="12"/>
  <c r="F48" i="12"/>
  <c r="E48" i="12"/>
  <c r="F47" i="12"/>
  <c r="E47" i="12"/>
  <c r="F46" i="12"/>
  <c r="E46" i="12"/>
  <c r="F45" i="12"/>
  <c r="E45" i="12"/>
  <c r="F43" i="12"/>
  <c r="E43" i="12"/>
  <c r="F42" i="12"/>
  <c r="E42" i="12"/>
  <c r="F41" i="12"/>
  <c r="E41" i="12"/>
  <c r="F40" i="12"/>
  <c r="E40" i="12"/>
  <c r="H10" i="12"/>
  <c r="G20" i="12"/>
  <c r="G16" i="12" l="1"/>
  <c r="E35" i="12" l="1"/>
  <c r="E36" i="12" s="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<sst xmlns="http://schemas.openxmlformats.org/spreadsheetml/2006/main" count="402" uniqueCount="229">
  <si>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</si>
  <si>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</si>
  <si>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</si>
  <si>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</si>
  <si>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</si>
  <si>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</si>
  <si>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</si>
  <si>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</si>
  <si>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</si>
  <si>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</si>
  <si>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</si>
  <si>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</si>
  <si>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</si>
  <si>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</si>
  <si>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</si>
  <si>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</si>
  <si>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</si>
  <si>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</si>
  <si>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</si>
  <si>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</si>
  <si>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</si>
  <si>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</si>
  <si>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</si>
  <si>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</si>
  <si>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</si>
  <si>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</si>
  <si>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</si>
  <si>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</si>
  <si>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</si>
  <si>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</si>
  <si>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</si>
  <si>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</si>
  <si>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</si>
  <si>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</si>
  <si>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</si>
  <si>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</si>
  <si>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</si>
  <si>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</si>
  <si>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</si>
  <si>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</si>
  <si>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</si>
  <si>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</si>
  <si>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</si>
  <si>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</si>
  <si>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</si>
  <si>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</si>
  <si>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</si>
  <si>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</si>
  <si>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</si>
  <si>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</si>
  <si>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</si>
  <si>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</si>
  <si>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</si>
  <si>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</si>
  <si>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</si>
  <si>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</si>
  <si>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</si>
  <si>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</si>
  <si>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</si>
  <si>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</si>
  <si>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</si>
  <si>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</si>
  <si>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</si>
  <si>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</si>
  <si>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</si>
  <si>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</si>
  <si>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</si>
  <si>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</si>
  <si>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</si>
  <si>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</si>
  <si>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</si>
  <si>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</si>
  <si>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</si>
  <si>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</si>
  <si>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</si>
  <si>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</si>
  <si>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</si>
  <si>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</si>
  <si>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</si>
  <si>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</si>
  <si>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</si>
  <si>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</si>
  <si>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</si>
  <si>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</si>
  <si>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</si>
  <si>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</si>
  <si>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</si>
  <si>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</si>
  <si>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</si>
  <si>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</si>
  <si>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</si>
  <si>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</si>
  <si>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</si>
  <si>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</si>
  <si>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</si>
  <si>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</si>
  <si>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</si>
  <si>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</si>
  <si>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</si>
  <si>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</si>
  <si>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</si>
  <si>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</si>
  <si>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</si>
  <si>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</si>
  <si>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</si>
  <si>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</si>
  <si>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</si>
  <si>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</si>
  <si>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</si>
  <si>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</si>
  <si>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</si>
  <si>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</si>
  <si>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</si>
  <si>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</si>
  <si>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</si>
  <si>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</si>
  <si>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</si>
  <si>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</si>
  <si>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</si>
  <si>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</si>
  <si>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</si>
  <si>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</si>
  <si>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</si>
  <si>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</si>
  <si>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</si>
  <si>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</si>
  <si>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</si>
  <si>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</si>
  <si>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</si>
  <si>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</si>
  <si>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</si>
  <si>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</si>
  <si>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</si>
  <si>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</si>
  <si>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</si>
  <si>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</si>
  <si>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</si>
  <si>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</si>
  <si>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</si>
  <si>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</si>
  <si>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</si>
  <si>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</si>
  <si>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</si>
  <si>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</si>
  <si>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</si>
  <si>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</si>
  <si>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</si>
  <si>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</si>
  <si>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</si>
  <si>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</si>
  <si>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</si>
  <si>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</si>
  <si>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</si>
  <si>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</si>
  <si>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</si>
  <si>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</si>
  <si>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</si>
  <si>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</si>
  <si>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</si>
  <si>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</si>
  <si>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</si>
  <si>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</si>
  <si>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</si>
  <si>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</si>
  <si>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</si>
  <si>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</si>
  <si>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</si>
  <si>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</si>
  <si>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</si>
  <si>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</si>
  <si>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</si>
  <si>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</si>
  <si>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</si>
  <si>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</si>
  <si>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</si>
  <si>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</si>
  <si>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</si>
  <si>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</si>
  <si>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</si>
  <si>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</si>
  <si>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</si>
  <si>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</si>
  <si>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</si>
  <si>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</si>
  <si>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</si>
  <si>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</si>
  <si>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</si>
  <si>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</si>
  <si>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</si>
  <si>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</si>
  <si>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</si>
  <si>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</si>
  <si>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</si>
  <si>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</si>
  <si>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</si>
  <si>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</si>
  <si>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</si>
  <si>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</si>
  <si>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</si>
  <si>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</si>
  <si>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</si>
  <si>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</si>
  <si>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</si>
  <si>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</si>
  <si>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</si>
  <si>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</si>
  <si>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</si>
  <si>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</si>
  <si>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</si>
  <si>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</si>
  <si>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</si>
  <si>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</si>
  <si>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</si>
  <si>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4</t>
  </si>
  <si>
    <t>53000(250h)</t>
  </si>
  <si>
    <t>15W-40</t>
  </si>
  <si>
    <t>S 10</t>
  </si>
  <si>
    <t>46508 (400h)</t>
  </si>
  <si>
    <t>Vsl uw to EBOURI Platform</t>
  </si>
  <si>
    <t>DP mode on. Cargo ops - EBOURI Platform</t>
  </si>
  <si>
    <t>VSL uw to SEENT Platform</t>
  </si>
  <si>
    <t>DP mode on. Bunkering FW - SEENT Platform</t>
  </si>
  <si>
    <t>18.06.2026</t>
  </si>
  <si>
    <t>ETAME Field</t>
  </si>
  <si>
    <t>17.8</t>
  </si>
  <si>
    <t>26.7</t>
  </si>
  <si>
    <t>VSL Steaming at oil field due to rough sea (high swell)</t>
  </si>
  <si>
    <t>03-38 S</t>
  </si>
  <si>
    <t>010-30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</si>
</sst>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7"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
      <sz val="8"/>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26">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20" fontId="41" fillId="0" borderId="3" xfId="1" applyNumberFormat="1" applyFont="1" applyBorder="1" applyAlignment="1">
      <alignment horizontal="left"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14" fontId="10" fillId="2" borderId="14" xfId="1" applyNumberFormat="1" applyFont="1" applyFill="1" applyBorder="1" applyAlignment="1">
      <alignment horizontal="center" vertical="center"/>
    </xf>
    <xf numFmtId="0" fontId="46" fillId="2" borderId="16" xfId="1"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0" fontId="11" fillId="3" borderId="14"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11" fillId="3" borderId="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45" fillId="0" borderId="12" xfId="1" quotePrefix="1" applyFont="1" applyBorder="1" applyAlignment="1">
      <alignment horizontal="center" vertical="center"/>
    </xf>
    <xf numFmtId="0" fontId="45" fillId="0" borderId="10" xfId="1" quotePrefix="1" applyFont="1" applyBorder="1" applyAlignment="1">
      <alignment horizontal="center" vertical="center"/>
    </xf>
    <xf numFmtId="0" fontId="45" fillId="0" borderId="9" xfId="1" quotePrefix="1" applyFont="1" applyBorder="1" applyAlignment="1">
      <alignment horizontal="center" vertical="center"/>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45" fillId="2" borderId="12" xfId="1" quotePrefix="1" applyFont="1" applyFill="1" applyBorder="1" applyAlignment="1">
      <alignment horizontal="left" vertical="center"/>
    </xf>
    <xf numFmtId="0" fontId="45" fillId="2" borderId="10" xfId="1" quotePrefix="1" applyFont="1" applyFill="1" applyBorder="1" applyAlignment="1">
      <alignment horizontal="left" vertical="center"/>
    </xf>
    <xf numFmtId="0" fontId="45" fillId="2" borderId="9" xfId="1" quotePrefix="1" applyFont="1" applyFill="1" applyBorder="1" applyAlignment="1">
      <alignment horizontal="left"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22" xfId="0" applyFont="1" applyBorder="1" applyAlignment="1">
      <alignment horizontal="center"/>
    </xf>
    <xf numFmtId="0" fontId="35" fillId="0" borderId="16" xfId="0" applyFont="1" applyBorder="1" applyAlignment="1">
      <alignment horizontal="center"/>
    </xf>
    <xf numFmtId="0" fontId="35" fillId="0" borderId="12" xfId="0" applyFont="1" applyBorder="1" applyAlignment="1">
      <alignment horizontal="left"/>
    </xf>
    <xf numFmtId="0" fontId="35" fillId="0" borderId="10" xfId="0" applyFont="1" applyBorder="1" applyAlignment="1">
      <alignment horizontal="left"/>
    </xf>
    <xf numFmtId="0" fontId="35" fillId="0" borderId="2" xfId="0" applyFont="1" applyBorder="1" applyAlignment="1">
      <alignment horizontal="left"/>
    </xf>
    <xf numFmtId="0" fontId="35" fillId="0" borderId="0" xfId="0" applyFont="1" applyAlignment="1">
      <alignment horizontal="center"/>
    </xf>
    <xf numFmtId="0" fontId="0" fillId="10" borderId="3" xfId="0" applyFill="1" applyBorder="1" applyAlignment="1">
      <alignment horizontal="left" vertical="center"/>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89"/>
  <sheetViews>
    <sheetView tabSelected="1" view="pageBreakPreview" topLeftCell="A40" zoomScaleNormal="100" zoomScaleSheetLayoutView="100" workbookViewId="0">
      <selection activeCell="B3" sqref="B3:B4"/>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81" t="s">
        <v>7</v>
      </c>
      <c r="B1" s="182"/>
      <c r="C1" s="182"/>
      <c r="D1" s="182"/>
      <c r="E1" s="182"/>
      <c r="F1" s="182"/>
      <c r="G1" s="182"/>
      <c r="H1" s="183"/>
      <c r="I1" s="1" t="s">
        <v>45</v>
      </c>
    </row>
    <row r="2" spans="1:9" ht="27" customHeight="1" x14ac:dyDescent="0.25">
      <c r="A2" s="184" t="s">
        <v>1</v>
      </c>
      <c r="B2" s="185"/>
      <c r="C2" s="186"/>
      <c r="D2" s="187" t="s">
        <v>204</v>
      </c>
      <c r="E2" s="188"/>
      <c r="F2" s="189"/>
      <c r="G2" s="16" t="s">
        <v>0</v>
      </c>
      <c r="H2" s="25" t="s">
        <v>94</v>
      </c>
    </row>
    <row r="3" spans="1:9" ht="27" customHeight="1" x14ac:dyDescent="0.25">
      <c r="A3" s="47" t="s">
        <v>43</v>
      </c>
      <c r="B3" s="24" t="s">
        <v>227</v>
      </c>
      <c r="C3" s="8" t="s">
        <v>206</v>
      </c>
      <c r="D3" s="24" t="s">
        <v>216</v>
      </c>
      <c r="E3" s="8" t="s">
        <v>38</v>
      </c>
      <c r="F3" s="84">
        <v>24</v>
      </c>
      <c r="G3" s="17" t="s">
        <v>2</v>
      </c>
      <c r="H3" s="24" t="s">
        <v>222</v>
      </c>
    </row>
    <row r="4" spans="1:9" ht="27" customHeight="1" x14ac:dyDescent="0.25">
      <c r="A4" s="48" t="s">
        <v>44</v>
      </c>
      <c r="B4" s="24" t="s">
        <v>228</v>
      </c>
      <c r="C4" s="43" t="s">
        <v>124</v>
      </c>
      <c r="D4" s="24" t="s">
        <v>205</v>
      </c>
      <c r="E4" s="43" t="s">
        <v>186</v>
      </c>
      <c r="F4" s="84" t="s">
        <v>208</v>
      </c>
      <c r="G4" s="17" t="s">
        <v>78</v>
      </c>
      <c r="H4" s="140" t="s">
        <v>223</v>
      </c>
    </row>
    <row r="5" spans="1:9" ht="27" customHeight="1" x14ac:dyDescent="0.25">
      <c r="A5" s="190" t="s">
        <v>37</v>
      </c>
      <c r="B5" s="191"/>
      <c r="C5" s="191"/>
      <c r="D5" s="191"/>
      <c r="E5" s="191"/>
      <c r="F5" s="191"/>
      <c r="G5" s="191"/>
      <c r="H5" s="192"/>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5" t="s">
        <v>207</v>
      </c>
      <c r="B8" s="166"/>
      <c r="C8" s="166"/>
      <c r="D8" s="166"/>
      <c r="E8" s="166"/>
      <c r="F8" s="166"/>
      <c r="G8" s="166"/>
      <c r="H8" s="167"/>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19</v>
      </c>
      <c r="B10" s="113">
        <v>0</v>
      </c>
      <c r="C10" s="113">
        <v>0</v>
      </c>
      <c r="D10" s="128">
        <v>5</v>
      </c>
      <c r="E10" s="113">
        <v>0</v>
      </c>
      <c r="F10" s="113">
        <v>0</v>
      </c>
      <c r="G10" s="113">
        <v>0</v>
      </c>
      <c r="H10" s="141">
        <f>G10+F10+E10+D10+C10+B10+A10</f>
        <v>24</v>
      </c>
    </row>
    <row r="11" spans="1:9" ht="27" customHeight="1" x14ac:dyDescent="0.25">
      <c r="A11" s="165" t="s">
        <v>203</v>
      </c>
      <c r="B11" s="166"/>
      <c r="C11" s="166"/>
      <c r="D11" s="166"/>
      <c r="E11" s="166"/>
      <c r="F11" s="166"/>
      <c r="G11" s="166"/>
      <c r="H11" s="167"/>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5</v>
      </c>
      <c r="E13" s="87">
        <v>0</v>
      </c>
      <c r="F13" s="87">
        <v>0</v>
      </c>
      <c r="G13" s="87">
        <v>0</v>
      </c>
      <c r="H13" s="141">
        <f>G13+F13+E13+D13+C13+B13+A13</f>
        <v>5</v>
      </c>
    </row>
    <row r="14" spans="1:9" ht="18.75" x14ac:dyDescent="0.25">
      <c r="A14" s="176" t="s">
        <v>22</v>
      </c>
      <c r="B14" s="177"/>
      <c r="C14" s="177"/>
      <c r="D14" s="177"/>
      <c r="E14" s="177"/>
      <c r="F14" s="177"/>
      <c r="G14" s="177"/>
      <c r="H14" s="178"/>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536.79999999999995</v>
      </c>
      <c r="D16" s="94" t="s">
        <v>224</v>
      </c>
      <c r="E16" s="81" t="s">
        <v>80</v>
      </c>
      <c r="F16" s="94" t="s">
        <v>80</v>
      </c>
      <c r="G16" s="82">
        <f>C16-D16+E16-F16</f>
        <v>519</v>
      </c>
      <c r="H16" s="101"/>
    </row>
    <row r="17" spans="1:8" s="2" customFormat="1" ht="15" customHeight="1" x14ac:dyDescent="0.25">
      <c r="A17" s="54" t="s">
        <v>47</v>
      </c>
      <c r="B17" s="4" t="s">
        <v>21</v>
      </c>
      <c r="C17" s="81">
        <v>3200</v>
      </c>
      <c r="D17" s="81" t="s">
        <v>80</v>
      </c>
      <c r="E17" s="81" t="s">
        <v>80</v>
      </c>
      <c r="F17" s="81" t="s">
        <v>80</v>
      </c>
      <c r="G17" s="82">
        <f>C17-D17+E17-F17</f>
        <v>3200</v>
      </c>
      <c r="H17" s="55" t="s">
        <v>215</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544</v>
      </c>
      <c r="D21" s="94" t="s">
        <v>213</v>
      </c>
      <c r="E21" s="94" t="s">
        <v>80</v>
      </c>
      <c r="F21" s="94" t="s">
        <v>225</v>
      </c>
      <c r="G21" s="82">
        <f>C21-D21+E21-F21</f>
        <v>513.29999999999995</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73" t="s">
        <v>28</v>
      </c>
      <c r="B31" s="174"/>
      <c r="C31" s="174"/>
      <c r="D31" s="174"/>
      <c r="E31" s="174"/>
      <c r="F31" s="174"/>
      <c r="G31" s="174"/>
      <c r="H31" s="175"/>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0</v>
      </c>
      <c r="C34" s="135">
        <v>0</v>
      </c>
      <c r="D34" s="135">
        <v>0</v>
      </c>
      <c r="E34" s="26">
        <v>0</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15</v>
      </c>
      <c r="C36" s="10">
        <v>0</v>
      </c>
      <c r="D36" s="10">
        <v>0</v>
      </c>
      <c r="E36" s="11">
        <f>E33+E34+E35</f>
        <v>15</v>
      </c>
      <c r="F36" s="12"/>
      <c r="G36" s="12"/>
      <c r="H36" s="62"/>
    </row>
    <row r="37" spans="1:12" ht="18.75" x14ac:dyDescent="0.25">
      <c r="A37" s="18" t="s">
        <v>59</v>
      </c>
      <c r="B37" s="50"/>
      <c r="C37" s="51"/>
      <c r="D37" s="51"/>
      <c r="E37" s="51"/>
      <c r="F37" s="51"/>
      <c r="G37" s="51"/>
      <c r="H37" s="19"/>
    </row>
    <row r="38" spans="1:12" s="3" customFormat="1" ht="12.75" customHeight="1" x14ac:dyDescent="0.25">
      <c r="A38" s="63"/>
      <c r="B38" s="168"/>
      <c r="C38" s="170" t="s">
        <v>60</v>
      </c>
      <c r="D38" s="150" t="s">
        <v>64</v>
      </c>
      <c r="E38" s="150" t="s">
        <v>65</v>
      </c>
      <c r="F38" s="170" t="s">
        <v>192</v>
      </c>
      <c r="G38" s="170" t="s">
        <v>198</v>
      </c>
      <c r="H38" s="170" t="s">
        <v>199</v>
      </c>
      <c r="J38" s="30"/>
      <c r="K38" s="30"/>
    </row>
    <row r="39" spans="1:12" s="3" customFormat="1" ht="12.75" customHeight="1" x14ac:dyDescent="0.25">
      <c r="A39" s="66"/>
      <c r="B39" s="169"/>
      <c r="C39" s="171"/>
      <c r="D39" s="172"/>
      <c r="E39" s="172"/>
      <c r="F39" s="171"/>
      <c r="G39" s="171"/>
      <c r="H39" s="171"/>
      <c r="J39" s="30"/>
      <c r="K39" s="30"/>
    </row>
    <row r="40" spans="1:12" s="2" customFormat="1" ht="12.75" customHeight="1" x14ac:dyDescent="0.25">
      <c r="A40" s="157" t="s">
        <v>66</v>
      </c>
      <c r="B40" s="158"/>
      <c r="C40" s="137">
        <v>24</v>
      </c>
      <c r="D40" s="92">
        <f>C40+J40</f>
        <v>370</v>
      </c>
      <c r="E40" s="92">
        <f>K40+C40</f>
        <v>13340</v>
      </c>
      <c r="F40" s="92">
        <f>L40+C40</f>
        <v>50559</v>
      </c>
      <c r="G40" s="116">
        <v>50180</v>
      </c>
      <c r="H40" s="116" t="s">
        <v>210</v>
      </c>
      <c r="I40" s="29"/>
      <c r="J40" s="92">
        <v>346</v>
      </c>
      <c r="K40" s="90">
        <v>13316</v>
      </c>
      <c r="L40" s="89">
        <v>50535</v>
      </c>
    </row>
    <row r="41" spans="1:12" s="2" customFormat="1" ht="12.75" customHeight="1" x14ac:dyDescent="0.25">
      <c r="A41" s="163" t="s">
        <v>67</v>
      </c>
      <c r="B41" s="164"/>
      <c r="C41" s="137">
        <v>24</v>
      </c>
      <c r="D41" s="92">
        <f>C41+J41</f>
        <v>370</v>
      </c>
      <c r="E41" s="92">
        <f>K41+C41</f>
        <v>14271</v>
      </c>
      <c r="F41" s="92">
        <f>L41+C41</f>
        <v>48805</v>
      </c>
      <c r="G41" s="116">
        <v>48440</v>
      </c>
      <c r="H41" s="116" t="s">
        <v>211</v>
      </c>
      <c r="I41" s="29"/>
      <c r="J41" s="92">
        <v>346</v>
      </c>
      <c r="K41" s="90">
        <v>14247</v>
      </c>
      <c r="L41" s="89">
        <v>48781</v>
      </c>
    </row>
    <row r="42" spans="1:12" s="2" customFormat="1" ht="12.75" customHeight="1" x14ac:dyDescent="0.25">
      <c r="A42" s="179" t="s">
        <v>95</v>
      </c>
      <c r="B42" s="158"/>
      <c r="C42" s="138">
        <v>0</v>
      </c>
      <c r="D42" s="92">
        <f t="shared" ref="D42:D49" si="1">C42+J42</f>
        <v>62</v>
      </c>
      <c r="E42" s="92">
        <f>K42+C42</f>
        <v>8780</v>
      </c>
      <c r="F42" s="92">
        <f>L42+C42</f>
        <v>46108</v>
      </c>
      <c r="G42" s="117">
        <v>46108</v>
      </c>
      <c r="H42" s="117" t="s">
        <v>217</v>
      </c>
      <c r="I42" s="29"/>
      <c r="J42" s="92">
        <v>62</v>
      </c>
      <c r="K42" s="90">
        <v>8780</v>
      </c>
      <c r="L42" s="89">
        <v>46108</v>
      </c>
    </row>
    <row r="43" spans="1:12" s="2" customFormat="1" ht="12.75" customHeight="1" x14ac:dyDescent="0.25">
      <c r="A43" s="157" t="s">
        <v>96</v>
      </c>
      <c r="B43" s="158"/>
      <c r="C43" s="137">
        <v>24</v>
      </c>
      <c r="D43" s="92">
        <f t="shared" si="1"/>
        <v>432</v>
      </c>
      <c r="E43" s="92">
        <f>K43+C43</f>
        <v>7500</v>
      </c>
      <c r="F43" s="92">
        <f>L43+C43</f>
        <v>52836</v>
      </c>
      <c r="G43" s="116">
        <v>52750</v>
      </c>
      <c r="H43" s="116" t="s">
        <v>214</v>
      </c>
      <c r="I43" s="29"/>
      <c r="J43" s="92">
        <v>408</v>
      </c>
      <c r="K43" s="90">
        <v>7476</v>
      </c>
      <c r="L43" s="89">
        <v>52812</v>
      </c>
    </row>
    <row r="44" spans="1:12" s="2" customFormat="1" ht="12.75" customHeight="1" x14ac:dyDescent="0.25">
      <c r="A44" s="180" t="s">
        <v>196</v>
      </c>
      <c r="B44" s="158"/>
      <c r="C44" s="137">
        <v>0</v>
      </c>
      <c r="D44" s="92">
        <f t="shared" si="1"/>
        <v>0</v>
      </c>
      <c r="E44" s="92" t="s">
        <v>195</v>
      </c>
      <c r="F44" s="92">
        <v>0</v>
      </c>
      <c r="G44" s="95"/>
      <c r="H44" s="95"/>
      <c r="I44" s="29"/>
      <c r="J44" s="92">
        <v>0</v>
      </c>
      <c r="K44" s="90" t="s">
        <v>195</v>
      </c>
      <c r="L44" s="89">
        <v>0</v>
      </c>
    </row>
    <row r="45" spans="1:12" s="2" customFormat="1" ht="12.75" customHeight="1" x14ac:dyDescent="0.25">
      <c r="A45" s="157" t="s">
        <v>61</v>
      </c>
      <c r="B45" s="158"/>
      <c r="C45" s="137">
        <v>5</v>
      </c>
      <c r="D45" s="92">
        <f t="shared" si="1"/>
        <v>161</v>
      </c>
      <c r="E45" s="92">
        <f>K45+C45</f>
        <v>2094</v>
      </c>
      <c r="F45" s="92">
        <f>L45+C45</f>
        <v>8192</v>
      </c>
      <c r="G45" s="95"/>
      <c r="H45" s="95"/>
      <c r="I45" s="29"/>
      <c r="J45" s="92">
        <v>156</v>
      </c>
      <c r="K45" s="90">
        <v>2089</v>
      </c>
      <c r="L45" s="89">
        <v>8187</v>
      </c>
    </row>
    <row r="46" spans="1:12" s="2" customFormat="1" ht="12.75" customHeight="1" x14ac:dyDescent="0.25">
      <c r="A46" s="157" t="s">
        <v>62</v>
      </c>
      <c r="B46" s="158"/>
      <c r="C46" s="137">
        <v>5</v>
      </c>
      <c r="D46" s="92">
        <f t="shared" si="1"/>
        <v>161</v>
      </c>
      <c r="E46" s="92">
        <f>K46+C46</f>
        <v>2099</v>
      </c>
      <c r="F46" s="92">
        <f>L46+C46</f>
        <v>8186</v>
      </c>
      <c r="G46" s="95"/>
      <c r="H46" s="95"/>
      <c r="I46" s="29"/>
      <c r="J46" s="92">
        <v>156</v>
      </c>
      <c r="K46" s="90">
        <v>2094</v>
      </c>
      <c r="L46" s="89">
        <v>8181</v>
      </c>
    </row>
    <row r="47" spans="1:12" s="2" customFormat="1" ht="12.75" customHeight="1" x14ac:dyDescent="0.25">
      <c r="A47" s="157" t="s">
        <v>63</v>
      </c>
      <c r="B47" s="158"/>
      <c r="C47" s="137">
        <v>5</v>
      </c>
      <c r="D47" s="92">
        <f t="shared" si="1"/>
        <v>161</v>
      </c>
      <c r="E47" s="92">
        <f>K47+C47</f>
        <v>2060</v>
      </c>
      <c r="F47" s="92">
        <f>L47+C47</f>
        <v>8150</v>
      </c>
      <c r="G47" s="95"/>
      <c r="H47" s="95"/>
      <c r="I47" s="29"/>
      <c r="J47" s="92">
        <v>156</v>
      </c>
      <c r="K47" s="90">
        <v>2055</v>
      </c>
      <c r="L47" s="89">
        <v>8145</v>
      </c>
    </row>
    <row r="48" spans="1:12" s="2" customFormat="1" ht="12.75" customHeight="1" x14ac:dyDescent="0.25">
      <c r="A48" s="159" t="s">
        <v>68</v>
      </c>
      <c r="B48" s="160"/>
      <c r="C48" s="137">
        <v>0</v>
      </c>
      <c r="D48" s="92">
        <f t="shared" si="1"/>
        <v>9</v>
      </c>
      <c r="E48" s="122">
        <f>K48+C48</f>
        <v>155</v>
      </c>
      <c r="F48" s="122">
        <f>L48+C48</f>
        <v>1390</v>
      </c>
      <c r="G48" s="95"/>
      <c r="H48" s="95"/>
      <c r="I48" s="29"/>
      <c r="J48" s="92">
        <v>9</v>
      </c>
      <c r="K48" s="91">
        <v>155</v>
      </c>
      <c r="L48" s="89">
        <v>1390</v>
      </c>
    </row>
    <row r="49" spans="1:12" s="2" customFormat="1" ht="12.75" customHeight="1" x14ac:dyDescent="0.25">
      <c r="A49" s="157" t="s">
        <v>69</v>
      </c>
      <c r="B49" s="158"/>
      <c r="C49" s="139">
        <v>0</v>
      </c>
      <c r="D49" s="92">
        <f t="shared" si="1"/>
        <v>9</v>
      </c>
      <c r="E49" s="92">
        <f>K49+C49</f>
        <v>371</v>
      </c>
      <c r="F49" s="92">
        <f>L49+C49</f>
        <v>808</v>
      </c>
      <c r="G49" s="96"/>
      <c r="H49" s="96"/>
      <c r="I49" s="29"/>
      <c r="J49" s="92">
        <v>9</v>
      </c>
      <c r="K49" s="90">
        <v>371</v>
      </c>
      <c r="L49" s="89">
        <v>808</v>
      </c>
    </row>
    <row r="50" spans="1:12" ht="18.75" x14ac:dyDescent="0.25">
      <c r="A50" s="18" t="s">
        <v>23</v>
      </c>
      <c r="B50" s="50"/>
      <c r="C50" s="51"/>
      <c r="D50" s="51"/>
      <c r="E50" s="51"/>
      <c r="F50" s="51"/>
      <c r="G50" s="51"/>
      <c r="H50" s="19"/>
    </row>
    <row r="51" spans="1:12" s="3" customFormat="1" ht="12.75" customHeight="1" x14ac:dyDescent="0.25">
      <c r="A51" s="161" t="s">
        <v>20</v>
      </c>
      <c r="B51" s="162"/>
      <c r="C51" s="153"/>
      <c r="D51" s="152" t="s">
        <v>18</v>
      </c>
      <c r="E51" s="153"/>
      <c r="F51" s="150" t="s">
        <v>39</v>
      </c>
      <c r="G51" s="64"/>
      <c r="H51" s="65"/>
    </row>
    <row r="52" spans="1:12" s="3" customFormat="1" ht="12.75" customHeight="1" x14ac:dyDescent="0.25">
      <c r="A52" s="121" t="s">
        <v>4</v>
      </c>
      <c r="B52" s="120" t="s">
        <v>5</v>
      </c>
      <c r="C52" s="120" t="s">
        <v>3</v>
      </c>
      <c r="D52" s="120" t="s">
        <v>24</v>
      </c>
      <c r="E52" s="120" t="s">
        <v>40</v>
      </c>
      <c r="F52" s="151"/>
      <c r="G52" s="64"/>
      <c r="H52" s="65"/>
    </row>
    <row r="53" spans="1:12" s="3" customFormat="1" ht="12.75" customHeight="1" x14ac:dyDescent="0.25">
      <c r="A53" s="133"/>
      <c r="B53" s="132"/>
      <c r="C53" s="129"/>
      <c r="D53" s="145"/>
      <c r="E53" s="145"/>
      <c r="F53" s="130"/>
      <c r="G53" s="64"/>
      <c r="H53" s="65"/>
    </row>
    <row r="54" spans="1:12" s="3" customFormat="1" ht="12.75" customHeight="1" x14ac:dyDescent="0.25">
      <c r="A54" s="146"/>
      <c r="B54" s="132"/>
      <c r="C54" s="129"/>
      <c r="D54" s="145"/>
      <c r="E54" s="145"/>
      <c r="F54" s="131"/>
      <c r="G54" s="64"/>
      <c r="H54" s="65"/>
    </row>
    <row r="55" spans="1:12" s="3" customFormat="1" ht="12.75" customHeight="1" x14ac:dyDescent="0.25">
      <c r="A55" s="133"/>
      <c r="B55" s="132"/>
      <c r="C55" s="129"/>
      <c r="D55" s="145"/>
      <c r="E55" s="132"/>
      <c r="F55" s="131"/>
      <c r="G55" s="64"/>
      <c r="H55" s="65"/>
    </row>
    <row r="56" spans="1:12" s="3" customFormat="1" ht="12.75" customHeight="1" x14ac:dyDescent="0.25">
      <c r="A56" s="133"/>
      <c r="B56" s="132"/>
      <c r="C56" s="129"/>
      <c r="D56" s="145"/>
      <c r="E56" s="132"/>
      <c r="F56" s="131"/>
      <c r="G56" s="64"/>
      <c r="H56" s="65"/>
    </row>
    <row r="57" spans="1:12" ht="18.75" x14ac:dyDescent="0.25">
      <c r="A57" s="28" t="s">
        <v>93</v>
      </c>
      <c r="B57" s="68"/>
      <c r="C57" s="69"/>
      <c r="D57" s="69"/>
      <c r="E57" s="69"/>
      <c r="F57" s="69"/>
      <c r="G57" s="51"/>
      <c r="H57" s="19"/>
    </row>
    <row r="58" spans="1:12" s="2" customFormat="1" ht="12.75" customHeight="1" x14ac:dyDescent="0.25">
      <c r="A58" s="67" t="s">
        <v>81</v>
      </c>
      <c r="B58" s="9" t="s">
        <v>82</v>
      </c>
      <c r="C58" s="9" t="s">
        <v>83</v>
      </c>
      <c r="D58" s="9" t="s">
        <v>84</v>
      </c>
      <c r="E58" s="9" t="s">
        <v>39</v>
      </c>
      <c r="F58" s="27"/>
      <c r="G58" s="64"/>
      <c r="H58" s="65"/>
    </row>
    <row r="59" spans="1:12" s="2" customFormat="1" ht="12.75" customHeight="1" x14ac:dyDescent="0.25">
      <c r="A59" s="70" t="s">
        <v>85</v>
      </c>
      <c r="B59" s="83">
        <v>0</v>
      </c>
      <c r="C59" s="83">
        <v>0</v>
      </c>
      <c r="D59" s="83">
        <f t="shared" ref="D59:D64" si="2">B59+C59</f>
        <v>0</v>
      </c>
      <c r="E59" s="3"/>
      <c r="F59" s="72"/>
      <c r="G59" s="64"/>
      <c r="H59" s="65"/>
    </row>
    <row r="60" spans="1:12" s="2" customFormat="1" ht="12.75" customHeight="1" x14ac:dyDescent="0.25">
      <c r="A60" s="70" t="s">
        <v>86</v>
      </c>
      <c r="B60" s="83">
        <v>607</v>
      </c>
      <c r="C60" s="83">
        <v>4</v>
      </c>
      <c r="D60" s="83">
        <f t="shared" si="2"/>
        <v>611</v>
      </c>
      <c r="E60" s="3"/>
      <c r="F60" s="72"/>
      <c r="G60" s="64"/>
      <c r="H60" s="65"/>
    </row>
    <row r="61" spans="1:12" s="2" customFormat="1" ht="12.75" customHeight="1" x14ac:dyDescent="0.25">
      <c r="A61" s="70" t="s">
        <v>87</v>
      </c>
      <c r="B61" s="83">
        <v>45</v>
      </c>
      <c r="C61" s="83">
        <v>0</v>
      </c>
      <c r="D61" s="83">
        <f t="shared" si="2"/>
        <v>45</v>
      </c>
      <c r="E61" s="3"/>
      <c r="F61" s="72"/>
      <c r="G61" s="64"/>
      <c r="H61" s="65"/>
    </row>
    <row r="62" spans="1:12" s="2" customFormat="1" ht="12.75" customHeight="1" x14ac:dyDescent="0.25">
      <c r="A62" s="70" t="s">
        <v>88</v>
      </c>
      <c r="B62" s="83">
        <v>13</v>
      </c>
      <c r="C62" s="83">
        <v>0</v>
      </c>
      <c r="D62" s="83">
        <f t="shared" si="2"/>
        <v>13</v>
      </c>
      <c r="E62" s="3"/>
      <c r="F62" s="72"/>
      <c r="G62" s="64"/>
      <c r="H62" s="65"/>
    </row>
    <row r="63" spans="1:12" s="2" customFormat="1" ht="12.75" customHeight="1" x14ac:dyDescent="0.25">
      <c r="A63" s="70" t="s">
        <v>89</v>
      </c>
      <c r="B63" s="83">
        <v>0</v>
      </c>
      <c r="C63" s="83">
        <v>0</v>
      </c>
      <c r="D63" s="83">
        <f t="shared" si="2"/>
        <v>0</v>
      </c>
      <c r="E63" s="3"/>
      <c r="F63" s="72"/>
      <c r="G63" s="64"/>
      <c r="H63" s="65"/>
    </row>
    <row r="64" spans="1:12" s="2" customFormat="1" ht="12.75" customHeight="1" x14ac:dyDescent="0.25">
      <c r="A64" s="70" t="s">
        <v>90</v>
      </c>
      <c r="B64" s="83">
        <v>0</v>
      </c>
      <c r="C64" s="83">
        <v>0</v>
      </c>
      <c r="D64" s="83">
        <f t="shared" si="2"/>
        <v>0</v>
      </c>
      <c r="E64" s="3"/>
      <c r="F64" s="72"/>
      <c r="G64" s="64"/>
      <c r="H64" s="65"/>
    </row>
    <row r="65" spans="1:8" s="2" customFormat="1" ht="12.75" customHeight="1" x14ac:dyDescent="0.25">
      <c r="A65" s="70" t="s">
        <v>91</v>
      </c>
      <c r="B65" s="83">
        <v>6</v>
      </c>
      <c r="C65" s="83">
        <v>1</v>
      </c>
      <c r="D65" s="83">
        <f>C65+B65</f>
        <v>7</v>
      </c>
      <c r="E65" s="3"/>
      <c r="F65" s="72"/>
      <c r="G65" s="64"/>
      <c r="H65" s="65"/>
    </row>
    <row r="66" spans="1:8" s="2" customFormat="1" ht="12.75" customHeight="1" x14ac:dyDescent="0.25">
      <c r="A66" s="70" t="s">
        <v>92</v>
      </c>
      <c r="B66" s="83">
        <v>0</v>
      </c>
      <c r="C66" s="83">
        <v>0</v>
      </c>
      <c r="D66" s="83">
        <f>B66+C66</f>
        <v>0</v>
      </c>
      <c r="E66" s="3"/>
      <c r="F66" s="72"/>
      <c r="G66" s="64"/>
      <c r="H66" s="65"/>
    </row>
    <row r="67" spans="1:8" s="2" customFormat="1" ht="12.75" customHeight="1" thickBot="1" x14ac:dyDescent="0.3">
      <c r="A67" s="74"/>
      <c r="B67" s="73"/>
      <c r="C67" s="73"/>
      <c r="D67" s="73"/>
      <c r="E67" s="71"/>
      <c r="F67" s="72"/>
      <c r="G67" s="64"/>
      <c r="H67" s="65"/>
    </row>
    <row r="68" spans="1:8" ht="15" customHeight="1" x14ac:dyDescent="0.25">
      <c r="A68" s="22" t="s">
        <v>6</v>
      </c>
      <c r="B68" s="23"/>
      <c r="C68" s="20"/>
      <c r="D68" s="20"/>
      <c r="E68" s="20"/>
      <c r="F68" s="20"/>
      <c r="G68" s="20"/>
      <c r="H68" s="21"/>
    </row>
    <row r="69" spans="1:8" s="2" customFormat="1" x14ac:dyDescent="0.25">
      <c r="A69" s="75" t="s">
        <v>8</v>
      </c>
      <c r="B69" s="76" t="s">
        <v>125</v>
      </c>
      <c r="C69" s="5" t="s">
        <v>9</v>
      </c>
      <c r="D69" s="154" t="s">
        <v>10</v>
      </c>
      <c r="E69" s="155"/>
      <c r="F69" s="155"/>
      <c r="G69" s="155"/>
      <c r="H69" s="156"/>
    </row>
    <row r="70" spans="1:8" s="2" customFormat="1" x14ac:dyDescent="0.25">
      <c r="A70" s="125">
        <v>0</v>
      </c>
      <c r="B70" s="126">
        <v>0.60416666666666663</v>
      </c>
      <c r="C70" s="126">
        <f t="shared" ref="C70" si="3">B70-A70</f>
        <v>0.60416666666666663</v>
      </c>
      <c r="D70" s="147" t="s">
        <v>218</v>
      </c>
      <c r="E70" s="148"/>
      <c r="F70" s="148"/>
      <c r="G70" s="148"/>
      <c r="H70" s="149"/>
    </row>
    <row r="71" spans="1:8" s="2" customFormat="1" ht="12.75" customHeight="1" x14ac:dyDescent="0.25">
      <c r="A71" s="125">
        <v>0.60416666666666663</v>
      </c>
      <c r="B71" s="126">
        <v>0.69791666666666663</v>
      </c>
      <c r="C71" s="126">
        <f t="shared" ref="C71:C75" si="4">B71-A71</f>
        <v>9.375E-2</v>
      </c>
      <c r="D71" s="147" t="s">
        <v>219</v>
      </c>
      <c r="E71" s="148"/>
      <c r="F71" s="148"/>
      <c r="G71" s="148"/>
      <c r="H71" s="149"/>
    </row>
    <row r="72" spans="1:8" s="2" customFormat="1" ht="12.75" customHeight="1" x14ac:dyDescent="0.25">
      <c r="A72" s="125">
        <v>0.69791666666666663</v>
      </c>
      <c r="B72" s="126">
        <v>0.75</v>
      </c>
      <c r="C72" s="126">
        <f t="shared" si="4"/>
        <v>5.208333333333337E-2</v>
      </c>
      <c r="D72" s="147" t="s">
        <v>220</v>
      </c>
      <c r="E72" s="148"/>
      <c r="F72" s="148"/>
      <c r="G72" s="148"/>
      <c r="H72" s="149"/>
    </row>
    <row r="73" spans="1:8" s="2" customFormat="1" x14ac:dyDescent="0.25">
      <c r="A73" s="125">
        <v>0.75</v>
      </c>
      <c r="B73" s="126">
        <v>0.86458333333333337</v>
      </c>
      <c r="C73" s="126">
        <f t="shared" si="4"/>
        <v>0.11458333333333337</v>
      </c>
      <c r="D73" s="147" t="s">
        <v>221</v>
      </c>
      <c r="E73" s="148"/>
      <c r="F73" s="148"/>
      <c r="G73" s="148"/>
      <c r="H73" s="149"/>
    </row>
    <row r="74" spans="1:8" s="2" customFormat="1" x14ac:dyDescent="0.25">
      <c r="A74" s="125">
        <v>0.86458333333333337</v>
      </c>
      <c r="B74" s="126">
        <v>0.99930555555555556</v>
      </c>
      <c r="C74" s="126">
        <f t="shared" si="4"/>
        <v>0.13472222222222219</v>
      </c>
      <c r="D74" s="147" t="s">
        <v>226</v>
      </c>
      <c r="E74" s="148"/>
      <c r="F74" s="148"/>
      <c r="G74" s="148"/>
      <c r="H74" s="149"/>
    </row>
    <row r="75" spans="1:8" s="2" customFormat="1" ht="12.75" customHeight="1" x14ac:dyDescent="0.25">
      <c r="A75" s="125"/>
      <c r="B75" s="126"/>
      <c r="C75" s="126"/>
      <c r="D75" s="147"/>
      <c r="E75" s="148"/>
      <c r="F75" s="148"/>
      <c r="G75" s="148"/>
      <c r="H75" s="149"/>
    </row>
    <row r="76" spans="1:8" s="2" customFormat="1" ht="12.75" customHeight="1" x14ac:dyDescent="0.25">
      <c r="A76" s="125"/>
      <c r="B76" s="126"/>
      <c r="C76" s="126"/>
      <c r="D76" s="147"/>
      <c r="E76" s="148"/>
      <c r="F76" s="148"/>
      <c r="G76" s="148"/>
      <c r="H76" s="149"/>
    </row>
    <row r="77" spans="1:8" s="2" customFormat="1" ht="12.75" customHeight="1" x14ac:dyDescent="0.25">
      <c r="A77" s="125"/>
      <c r="B77" s="126"/>
      <c r="C77" s="126"/>
      <c r="D77" s="147"/>
      <c r="E77" s="148"/>
      <c r="F77" s="148"/>
      <c r="G77" s="148"/>
      <c r="H77" s="149"/>
    </row>
    <row r="78" spans="1:8" s="2" customFormat="1" ht="12.75" customHeight="1" x14ac:dyDescent="0.25">
      <c r="A78" s="125"/>
      <c r="B78" s="126"/>
      <c r="C78" s="126"/>
      <c r="D78" s="142"/>
      <c r="E78" s="143"/>
      <c r="F78" s="143"/>
      <c r="G78" s="143"/>
      <c r="H78" s="144"/>
    </row>
    <row r="79" spans="1:8" s="2" customFormat="1" ht="12.75" customHeight="1" x14ac:dyDescent="0.25">
      <c r="A79" s="125"/>
      <c r="B79" s="126"/>
      <c r="C79" s="126"/>
      <c r="D79" s="142"/>
      <c r="E79" s="143"/>
      <c r="F79" s="143"/>
      <c r="G79" s="143"/>
      <c r="H79" s="144"/>
    </row>
    <row r="80" spans="1:8" s="2" customFormat="1" x14ac:dyDescent="0.25">
      <c r="A80" s="125"/>
      <c r="B80" s="126"/>
      <c r="C80" s="126"/>
      <c r="D80" s="147"/>
      <c r="E80" s="148"/>
      <c r="F80" s="148"/>
      <c r="G80" s="148"/>
      <c r="H80" s="149"/>
    </row>
    <row r="81" spans="1:8" s="2" customFormat="1" x14ac:dyDescent="0.25">
      <c r="A81" s="125"/>
      <c r="B81" s="126"/>
      <c r="C81" s="126"/>
      <c r="D81" s="147"/>
      <c r="E81" s="148"/>
      <c r="F81" s="148"/>
      <c r="G81" s="148"/>
      <c r="H81" s="149"/>
    </row>
    <row r="82" spans="1:8" s="2" customFormat="1" x14ac:dyDescent="0.25">
      <c r="A82" s="125"/>
      <c r="B82" s="126"/>
      <c r="C82" s="126"/>
      <c r="D82" s="193"/>
      <c r="E82" s="194"/>
      <c r="F82" s="194"/>
      <c r="G82" s="194"/>
      <c r="H82" s="195"/>
    </row>
    <row r="83" spans="1:8" s="2" customFormat="1" x14ac:dyDescent="0.25">
      <c r="A83" s="126"/>
      <c r="B83" s="136"/>
      <c r="C83" s="126"/>
      <c r="D83" s="202"/>
      <c r="E83" s="203"/>
      <c r="F83" s="203"/>
      <c r="G83" s="203"/>
      <c r="H83" s="204"/>
    </row>
    <row r="84" spans="1:8" s="2" customFormat="1" x14ac:dyDescent="0.25">
      <c r="A84" s="126"/>
      <c r="B84" s="134"/>
      <c r="C84" s="126"/>
      <c r="D84" s="147"/>
      <c r="E84" s="148"/>
      <c r="F84" s="148"/>
      <c r="G84" s="148"/>
      <c r="H84" s="149"/>
    </row>
    <row r="85" spans="1:8" s="2" customFormat="1" x14ac:dyDescent="0.25">
      <c r="A85" s="126"/>
      <c r="B85" s="134"/>
      <c r="C85" s="126"/>
      <c r="D85" s="142"/>
      <c r="E85" s="143"/>
      <c r="F85" s="143"/>
      <c r="G85" s="143"/>
      <c r="H85" s="144"/>
    </row>
    <row r="86" spans="1:8" ht="15" customHeight="1" x14ac:dyDescent="0.25">
      <c r="A86" s="118"/>
      <c r="B86" s="119"/>
      <c r="C86" s="51"/>
      <c r="D86" s="51"/>
      <c r="E86" s="51"/>
      <c r="F86" s="51"/>
      <c r="G86" s="51"/>
      <c r="H86" s="19"/>
    </row>
    <row r="87" spans="1:8" ht="20.25" customHeight="1" x14ac:dyDescent="0.25">
      <c r="A87" s="199"/>
      <c r="B87" s="200"/>
      <c r="C87" s="200"/>
      <c r="D87" s="200"/>
      <c r="E87" s="200"/>
      <c r="F87" s="200"/>
      <c r="G87" s="200"/>
      <c r="H87" s="201"/>
    </row>
    <row r="88" spans="1:8" ht="20.25" customHeight="1" x14ac:dyDescent="0.25">
      <c r="A88" s="199"/>
      <c r="B88" s="200"/>
      <c r="C88" s="200"/>
      <c r="D88" s="200"/>
      <c r="E88" s="200"/>
      <c r="F88" s="200"/>
      <c r="G88" s="200"/>
      <c r="H88" s="201"/>
    </row>
    <row r="89" spans="1:8" ht="20.25" customHeight="1" thickBot="1" x14ac:dyDescent="0.3">
      <c r="A89" s="196"/>
      <c r="B89" s="197"/>
      <c r="C89" s="197"/>
      <c r="D89" s="197"/>
      <c r="E89" s="197"/>
      <c r="F89" s="197"/>
      <c r="G89" s="197"/>
      <c r="H89" s="198"/>
    </row>
  </sheetData>
  <mergeCells count="45">
    <mergeCell ref="D82:H82"/>
    <mergeCell ref="A89:H89"/>
    <mergeCell ref="A87:H87"/>
    <mergeCell ref="A88:H88"/>
    <mergeCell ref="D83:H83"/>
    <mergeCell ref="D84:H84"/>
    <mergeCell ref="A1:H1"/>
    <mergeCell ref="A2:C2"/>
    <mergeCell ref="D2:F2"/>
    <mergeCell ref="A5:H5"/>
    <mergeCell ref="A8:H8"/>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46:B46"/>
    <mergeCell ref="A47:B47"/>
    <mergeCell ref="A48:B48"/>
    <mergeCell ref="A49:B49"/>
    <mergeCell ref="A51:C51"/>
    <mergeCell ref="D80:H80"/>
    <mergeCell ref="D81:H81"/>
    <mergeCell ref="F51:F52"/>
    <mergeCell ref="D51:E51"/>
    <mergeCell ref="D69:H69"/>
    <mergeCell ref="D70:H70"/>
    <mergeCell ref="D77:H77"/>
    <mergeCell ref="D76:H76"/>
    <mergeCell ref="D73:H73"/>
    <mergeCell ref="D75:H75"/>
    <mergeCell ref="D72:H72"/>
    <mergeCell ref="D71:H71"/>
    <mergeCell ref="D74:H74"/>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15" t="s">
        <v>127</v>
      </c>
      <c r="C1" s="215"/>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208" t="s">
        <v>128</v>
      </c>
      <c r="C3" s="209"/>
      <c r="D3" s="209"/>
      <c r="E3" s="209"/>
      <c r="F3" s="209"/>
      <c r="G3" s="209"/>
      <c r="H3" s="209"/>
      <c r="I3" s="209"/>
      <c r="J3" s="209"/>
      <c r="K3" s="209"/>
      <c r="L3" s="209"/>
      <c r="M3" s="209"/>
      <c r="N3" s="209"/>
      <c r="O3" s="102"/>
      <c r="P3" s="208" t="s">
        <v>129</v>
      </c>
      <c r="Q3" s="209"/>
      <c r="R3" s="209"/>
      <c r="S3" s="209"/>
      <c r="T3" s="209"/>
      <c r="U3" s="209"/>
      <c r="V3" s="209"/>
      <c r="W3" s="209"/>
      <c r="X3" s="209"/>
      <c r="Y3" s="209"/>
      <c r="Z3" s="209"/>
      <c r="AA3" s="209"/>
      <c r="AB3" s="209"/>
    </row>
    <row r="4" spans="1:28" x14ac:dyDescent="0.25">
      <c r="A4" s="102"/>
      <c r="B4" s="205" t="s">
        <v>130</v>
      </c>
      <c r="C4" s="206"/>
      <c r="D4" s="205" t="s">
        <v>185</v>
      </c>
      <c r="E4" s="206"/>
      <c r="F4" s="104"/>
      <c r="G4" s="205" t="s">
        <v>131</v>
      </c>
      <c r="H4" s="206"/>
      <c r="I4" s="104"/>
      <c r="J4" s="205" t="s">
        <v>132</v>
      </c>
      <c r="K4" s="206"/>
      <c r="L4" s="104"/>
      <c r="M4" s="104"/>
      <c r="N4" s="104"/>
      <c r="O4" s="102"/>
      <c r="P4" s="205" t="s">
        <v>130</v>
      </c>
      <c r="Q4" s="206"/>
      <c r="R4" s="205" t="s">
        <v>185</v>
      </c>
      <c r="S4" s="206"/>
      <c r="T4" s="104"/>
      <c r="U4" s="210" t="s">
        <v>131</v>
      </c>
      <c r="V4" s="211"/>
      <c r="W4" s="104"/>
      <c r="X4" s="205" t="s">
        <v>132</v>
      </c>
      <c r="Y4" s="206"/>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205" t="s">
        <v>133</v>
      </c>
      <c r="C6" s="207"/>
      <c r="D6" s="206"/>
      <c r="E6" s="104"/>
      <c r="F6" s="104"/>
      <c r="G6" s="104"/>
      <c r="H6" s="104"/>
      <c r="I6" s="104"/>
      <c r="J6" s="104"/>
      <c r="K6" s="104"/>
      <c r="L6" s="104"/>
      <c r="M6" s="104"/>
      <c r="N6" s="104"/>
      <c r="O6" s="102"/>
      <c r="P6" s="205" t="s">
        <v>133</v>
      </c>
      <c r="Q6" s="207"/>
      <c r="R6" s="206"/>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205" t="s">
        <v>149</v>
      </c>
      <c r="C10" s="207"/>
      <c r="D10" s="207"/>
      <c r="E10" s="206"/>
      <c r="F10" s="104"/>
      <c r="G10" s="104"/>
      <c r="H10" s="205" t="s">
        <v>149</v>
      </c>
      <c r="I10" s="207"/>
      <c r="J10" s="207"/>
      <c r="K10" s="206"/>
      <c r="L10" s="104"/>
      <c r="M10" s="104"/>
      <c r="N10" s="104"/>
      <c r="O10" s="102"/>
      <c r="P10" s="205" t="s">
        <v>149</v>
      </c>
      <c r="Q10" s="207"/>
      <c r="R10" s="207"/>
      <c r="S10" s="206"/>
      <c r="T10" s="104"/>
      <c r="U10" s="104"/>
      <c r="V10" s="205" t="s">
        <v>149</v>
      </c>
      <c r="W10" s="207"/>
      <c r="X10" s="207"/>
      <c r="Y10" s="206"/>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205" t="s">
        <v>151</v>
      </c>
      <c r="C14" s="207"/>
      <c r="D14" s="207"/>
      <c r="E14" s="207"/>
      <c r="F14" s="206"/>
      <c r="G14" s="107" t="s">
        <v>152</v>
      </c>
      <c r="H14" s="104"/>
      <c r="I14" s="104"/>
      <c r="J14" s="104"/>
      <c r="K14" s="104"/>
      <c r="L14" s="104"/>
      <c r="M14" s="104"/>
      <c r="N14" s="104"/>
      <c r="O14" s="102"/>
      <c r="P14" s="205" t="s">
        <v>151</v>
      </c>
      <c r="Q14" s="207"/>
      <c r="R14" s="207"/>
      <c r="S14" s="207"/>
      <c r="T14" s="206"/>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205" t="s">
        <v>154</v>
      </c>
      <c r="C16" s="206"/>
      <c r="D16" s="104"/>
      <c r="E16" s="104"/>
      <c r="F16" s="104"/>
      <c r="G16" s="104"/>
      <c r="H16" s="205" t="s">
        <v>155</v>
      </c>
      <c r="I16" s="206"/>
      <c r="J16" s="104"/>
      <c r="K16" s="104"/>
      <c r="L16" s="104"/>
      <c r="M16" s="104"/>
      <c r="N16" s="104"/>
      <c r="O16" s="102"/>
      <c r="P16" s="205" t="s">
        <v>154</v>
      </c>
      <c r="Q16" s="206"/>
      <c r="R16" s="104"/>
      <c r="S16" s="104"/>
      <c r="T16" s="104"/>
      <c r="U16" s="104"/>
      <c r="V16" s="205" t="s">
        <v>155</v>
      </c>
      <c r="W16" s="206"/>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205" t="s">
        <v>156</v>
      </c>
      <c r="C18" s="207"/>
      <c r="D18" s="207"/>
      <c r="E18" s="206"/>
      <c r="F18" s="104"/>
      <c r="G18" s="104"/>
      <c r="H18" s="205" t="s">
        <v>157</v>
      </c>
      <c r="I18" s="207"/>
      <c r="J18" s="207"/>
      <c r="K18" s="206"/>
      <c r="L18" s="104"/>
      <c r="M18" s="104"/>
      <c r="N18" s="104"/>
      <c r="O18" s="102"/>
      <c r="P18" s="205" t="s">
        <v>156</v>
      </c>
      <c r="Q18" s="207"/>
      <c r="R18" s="207"/>
      <c r="S18" s="206"/>
      <c r="T18" s="104"/>
      <c r="U18" s="104"/>
      <c r="V18" s="205" t="s">
        <v>157</v>
      </c>
      <c r="W18" s="207"/>
      <c r="X18" s="207"/>
      <c r="Y18" s="206"/>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205" t="s">
        <v>158</v>
      </c>
      <c r="C20" s="207"/>
      <c r="D20" s="207"/>
      <c r="E20" s="206"/>
      <c r="F20" s="104"/>
      <c r="G20" s="104"/>
      <c r="H20" s="205" t="s">
        <v>159</v>
      </c>
      <c r="I20" s="207"/>
      <c r="J20" s="207"/>
      <c r="K20" s="206"/>
      <c r="L20" s="104"/>
      <c r="M20" s="104"/>
      <c r="N20" s="104"/>
      <c r="O20" s="102"/>
      <c r="P20" s="205" t="s">
        <v>158</v>
      </c>
      <c r="Q20" s="207"/>
      <c r="R20" s="207"/>
      <c r="S20" s="206"/>
      <c r="T20" s="104"/>
      <c r="U20" s="104"/>
      <c r="V20" s="205" t="s">
        <v>159</v>
      </c>
      <c r="W20" s="207"/>
      <c r="X20" s="207"/>
      <c r="Y20" s="206"/>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208" t="s">
        <v>160</v>
      </c>
      <c r="C23" s="209"/>
      <c r="D23" s="209"/>
      <c r="E23" s="209"/>
      <c r="F23" s="209"/>
      <c r="G23" s="209"/>
      <c r="H23" s="209"/>
      <c r="I23" s="209"/>
      <c r="J23" s="209"/>
      <c r="K23" s="209"/>
      <c r="L23" s="209"/>
      <c r="M23" s="209"/>
      <c r="N23" s="209"/>
      <c r="O23" s="102"/>
      <c r="P23" s="208" t="s">
        <v>161</v>
      </c>
      <c r="Q23" s="209"/>
      <c r="R23" s="209"/>
      <c r="S23" s="209"/>
      <c r="T23" s="209"/>
      <c r="U23" s="209"/>
      <c r="V23" s="209"/>
      <c r="W23" s="209"/>
      <c r="X23" s="209"/>
      <c r="Y23" s="209"/>
      <c r="Z23" s="209"/>
      <c r="AA23" s="209"/>
      <c r="AB23" s="209"/>
    </row>
    <row r="24" spans="1:28" x14ac:dyDescent="0.25">
      <c r="A24" s="102"/>
      <c r="B24" s="205" t="s">
        <v>133</v>
      </c>
      <c r="C24" s="207"/>
      <c r="D24" s="206"/>
      <c r="E24" s="104"/>
      <c r="F24" s="104"/>
      <c r="G24" s="104"/>
      <c r="H24" s="104"/>
      <c r="I24" s="104"/>
      <c r="J24" s="104"/>
      <c r="K24" s="104"/>
      <c r="L24" s="104"/>
      <c r="M24" s="104"/>
      <c r="N24" s="104"/>
      <c r="O24" s="102"/>
      <c r="P24" s="212" t="s">
        <v>133</v>
      </c>
      <c r="Q24" s="213"/>
      <c r="R24" s="214"/>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205" t="s">
        <v>174</v>
      </c>
      <c r="C27" s="206"/>
      <c r="D27" s="104"/>
      <c r="E27" s="104"/>
      <c r="F27" s="104"/>
      <c r="G27" s="104"/>
      <c r="H27" s="107" t="s">
        <v>175</v>
      </c>
      <c r="I27" s="104"/>
      <c r="J27" s="104"/>
      <c r="K27" s="104"/>
      <c r="L27" s="104"/>
      <c r="M27" s="104"/>
      <c r="N27" s="104"/>
      <c r="O27" s="102"/>
      <c r="P27" s="205" t="s">
        <v>174</v>
      </c>
      <c r="Q27" s="206"/>
      <c r="R27" s="104"/>
      <c r="S27" s="104"/>
      <c r="T27" s="104"/>
      <c r="U27" s="104"/>
      <c r="V27" s="107" t="s">
        <v>175</v>
      </c>
      <c r="W27" s="104"/>
      <c r="X27" s="104"/>
      <c r="Y27" s="104"/>
      <c r="Z27" s="104"/>
      <c r="AA27" s="104"/>
      <c r="AB27" s="104"/>
    </row>
    <row r="28" spans="1:28" x14ac:dyDescent="0.25">
      <c r="A28" s="102"/>
      <c r="B28" s="205" t="s">
        <v>176</v>
      </c>
      <c r="C28" s="206"/>
      <c r="D28" s="205" t="s">
        <v>177</v>
      </c>
      <c r="E28" s="206"/>
      <c r="F28" s="104"/>
      <c r="G28" s="104"/>
      <c r="H28" s="205" t="s">
        <v>149</v>
      </c>
      <c r="I28" s="207"/>
      <c r="J28" s="207"/>
      <c r="K28" s="206"/>
      <c r="L28" s="104"/>
      <c r="M28" s="104"/>
      <c r="N28" s="104"/>
      <c r="O28" s="102"/>
      <c r="P28" s="212" t="s">
        <v>176</v>
      </c>
      <c r="Q28" s="214"/>
      <c r="R28" s="205" t="s">
        <v>177</v>
      </c>
      <c r="S28" s="206"/>
      <c r="T28" s="104"/>
      <c r="U28" s="104"/>
      <c r="V28" s="205" t="s">
        <v>149</v>
      </c>
      <c r="W28" s="207"/>
      <c r="X28" s="207"/>
      <c r="Y28" s="206"/>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208" t="s">
        <v>97</v>
      </c>
      <c r="C31" s="209"/>
      <c r="D31" s="209"/>
      <c r="E31" s="209"/>
      <c r="F31" s="209"/>
      <c r="G31" s="209"/>
      <c r="H31" s="209"/>
      <c r="I31" s="209"/>
      <c r="J31" s="209"/>
      <c r="K31" s="209"/>
      <c r="L31" s="209"/>
      <c r="M31" s="209"/>
      <c r="N31" s="209"/>
      <c r="O31" s="102"/>
      <c r="P31" s="208" t="s">
        <v>178</v>
      </c>
      <c r="Q31" s="209"/>
      <c r="R31" s="209"/>
      <c r="S31" s="209"/>
      <c r="T31" s="103"/>
      <c r="U31" s="208" t="s">
        <v>179</v>
      </c>
      <c r="V31" s="209"/>
      <c r="W31" s="209"/>
      <c r="X31" s="209"/>
      <c r="Y31" s="102"/>
      <c r="Z31" s="102"/>
      <c r="AA31" s="102"/>
      <c r="AB31" s="102"/>
    </row>
    <row r="32" spans="1:28" x14ac:dyDescent="0.25">
      <c r="A32" s="102"/>
      <c r="B32" s="205" t="s">
        <v>133</v>
      </c>
      <c r="C32" s="207"/>
      <c r="D32" s="206"/>
      <c r="E32" s="104"/>
      <c r="F32" s="104"/>
      <c r="G32" s="104"/>
      <c r="H32" s="104"/>
      <c r="I32" s="104"/>
      <c r="J32" s="104"/>
      <c r="K32" s="104"/>
      <c r="L32" s="104"/>
      <c r="M32" s="104"/>
      <c r="N32" s="104"/>
      <c r="O32" s="102"/>
      <c r="P32" s="205" t="s">
        <v>176</v>
      </c>
      <c r="Q32" s="206"/>
      <c r="R32" s="205" t="s">
        <v>177</v>
      </c>
      <c r="S32" s="206"/>
      <c r="T32" s="103"/>
      <c r="U32" s="205" t="s">
        <v>176</v>
      </c>
      <c r="V32" s="206"/>
      <c r="W32" s="205" t="s">
        <v>177</v>
      </c>
      <c r="X32" s="206"/>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205" t="s">
        <v>174</v>
      </c>
      <c r="C35" s="206"/>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205" t="s">
        <v>176</v>
      </c>
      <c r="C36" s="206"/>
      <c r="D36" s="205" t="s">
        <v>177</v>
      </c>
      <c r="E36" s="206"/>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208" t="s">
        <v>180</v>
      </c>
      <c r="C39" s="209"/>
      <c r="D39" s="209"/>
      <c r="E39" s="209"/>
      <c r="F39" s="209"/>
      <c r="G39" s="209"/>
      <c r="H39" s="209"/>
      <c r="I39" s="209"/>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205" t="s">
        <v>181</v>
      </c>
      <c r="C40" s="206"/>
      <c r="D40" s="107">
        <v>40</v>
      </c>
      <c r="E40" s="104"/>
      <c r="F40" s="205" t="s">
        <v>182</v>
      </c>
      <c r="G40" s="207"/>
      <c r="H40" s="206"/>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205" t="s">
        <v>183</v>
      </c>
      <c r="C41" s="206"/>
      <c r="D41" s="107">
        <v>39</v>
      </c>
      <c r="E41" s="104"/>
      <c r="F41" s="205" t="s">
        <v>184</v>
      </c>
      <c r="G41" s="207"/>
      <c r="H41" s="206"/>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16:C16"/>
    <mergeCell ref="B18:E18"/>
    <mergeCell ref="P14:T14"/>
    <mergeCell ref="P16:Q16"/>
    <mergeCell ref="H16:I16"/>
    <mergeCell ref="P31:S31"/>
    <mergeCell ref="R28:S28"/>
    <mergeCell ref="R32:S32"/>
    <mergeCell ref="P27:Q27"/>
    <mergeCell ref="J4:K4"/>
    <mergeCell ref="P4:Q4"/>
    <mergeCell ref="R4:S4"/>
    <mergeCell ref="P6:R6"/>
    <mergeCell ref="P10:S10"/>
    <mergeCell ref="B1:C1"/>
    <mergeCell ref="B3:N3"/>
    <mergeCell ref="P3:AB3"/>
    <mergeCell ref="B4:C4"/>
    <mergeCell ref="D4:E4"/>
    <mergeCell ref="G4:H4"/>
    <mergeCell ref="V28:Y28"/>
    <mergeCell ref="V16:W16"/>
    <mergeCell ref="V18:Y18"/>
    <mergeCell ref="P18:S18"/>
    <mergeCell ref="P20:S20"/>
    <mergeCell ref="V20:Y20"/>
    <mergeCell ref="P28:Q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C12" sqref="AC12"/>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17" t="s">
        <v>98</v>
      </c>
      <c r="D3" s="217"/>
      <c r="E3" s="217"/>
      <c r="F3" s="217"/>
      <c r="G3" s="217"/>
      <c r="H3" s="217"/>
      <c r="I3" s="217"/>
      <c r="J3" s="217"/>
      <c r="K3" s="217"/>
      <c r="L3" s="217"/>
      <c r="M3" s="217"/>
      <c r="N3" s="217"/>
      <c r="O3" s="217"/>
      <c r="P3" s="217"/>
      <c r="Q3" s="217"/>
      <c r="R3" s="217"/>
      <c r="S3" s="217"/>
      <c r="T3" s="217"/>
      <c r="U3" s="217" t="s">
        <v>99</v>
      </c>
      <c r="V3" s="217"/>
      <c r="W3" s="217"/>
      <c r="X3" s="217"/>
      <c r="Y3" s="217"/>
      <c r="Z3" s="217"/>
      <c r="AA3" s="217"/>
      <c r="AB3" s="217" t="s">
        <v>212</v>
      </c>
      <c r="AC3" s="217"/>
      <c r="AD3" s="217"/>
      <c r="AE3" s="217"/>
      <c r="AF3" s="217"/>
      <c r="AG3" s="217"/>
      <c r="AH3" s="217"/>
      <c r="AI3" s="217"/>
      <c r="AJ3" s="217"/>
    </row>
    <row r="4" spans="2:37" ht="15.75" thickBot="1" x14ac:dyDescent="0.3">
      <c r="E4" s="218" t="s">
        <v>100</v>
      </c>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row>
    <row r="5" spans="2:37" ht="19.5" thickBot="1" x14ac:dyDescent="0.3">
      <c r="B5" s="77" t="s">
        <v>101</v>
      </c>
      <c r="C5" s="219" t="s">
        <v>102</v>
      </c>
      <c r="D5" s="219"/>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20" t="s">
        <v>194</v>
      </c>
      <c r="D6" s="220"/>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c r="X6" s="98"/>
      <c r="Y6" s="98"/>
      <c r="Z6" s="98"/>
      <c r="AA6" s="98"/>
      <c r="AB6" s="98"/>
      <c r="AC6" s="98"/>
      <c r="AD6" s="98"/>
      <c r="AE6" s="98"/>
      <c r="AF6" s="98"/>
      <c r="AG6" s="98"/>
      <c r="AH6" s="98"/>
      <c r="AI6" s="98"/>
      <c r="AJ6" s="99"/>
      <c r="AK6" s="100"/>
    </row>
    <row r="7" spans="2:37" x14ac:dyDescent="0.25">
      <c r="B7" s="36">
        <v>2</v>
      </c>
      <c r="C7" s="221" t="s">
        <v>193</v>
      </c>
      <c r="D7" s="221"/>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c r="X7" s="79"/>
      <c r="Y7" s="79"/>
      <c r="Z7" s="79"/>
      <c r="AA7" s="79"/>
      <c r="AB7" s="79"/>
      <c r="AC7" s="79"/>
      <c r="AD7" s="79"/>
      <c r="AE7" s="79"/>
      <c r="AF7" s="79"/>
      <c r="AG7" s="79"/>
      <c r="AH7" s="79"/>
      <c r="AI7" s="79"/>
      <c r="AJ7" s="35">
        <f>SUM(E7:AI7)</f>
        <v>3252</v>
      </c>
      <c r="AK7" s="37"/>
    </row>
    <row r="8" spans="2:37" x14ac:dyDescent="0.25">
      <c r="B8" s="34">
        <v>3</v>
      </c>
      <c r="C8" s="221" t="s">
        <v>105</v>
      </c>
      <c r="D8" s="221"/>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c r="X8" s="79"/>
      <c r="Y8" s="79"/>
      <c r="Z8" s="79"/>
      <c r="AA8" s="79"/>
      <c r="AB8" s="79"/>
      <c r="AC8" s="79"/>
      <c r="AD8" s="79"/>
      <c r="AE8" s="79"/>
      <c r="AF8" s="79"/>
      <c r="AG8" s="79"/>
      <c r="AH8" s="79"/>
      <c r="AI8" s="79"/>
      <c r="AJ8" s="35">
        <f t="shared" ref="AJ8:AJ19" si="0">SUM(E8:AI8)</f>
        <v>1</v>
      </c>
      <c r="AK8" s="37"/>
    </row>
    <row r="9" spans="2:37" x14ac:dyDescent="0.25">
      <c r="B9" s="36">
        <v>4</v>
      </c>
      <c r="C9" s="216" t="s">
        <v>106</v>
      </c>
      <c r="D9" s="216"/>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c r="X9" s="79"/>
      <c r="Y9" s="79"/>
      <c r="Z9" s="79"/>
      <c r="AA9" s="79"/>
      <c r="AB9" s="79"/>
      <c r="AC9" s="79"/>
      <c r="AD9" s="79"/>
      <c r="AE9" s="79"/>
      <c r="AF9" s="79"/>
      <c r="AG9" s="79"/>
      <c r="AH9" s="79"/>
      <c r="AI9" s="79"/>
      <c r="AJ9" s="35">
        <f t="shared" si="0"/>
        <v>0</v>
      </c>
      <c r="AK9" s="37"/>
    </row>
    <row r="10" spans="2:37" x14ac:dyDescent="0.25">
      <c r="B10" s="34">
        <v>5</v>
      </c>
      <c r="C10" s="216" t="s">
        <v>107</v>
      </c>
      <c r="D10" s="216"/>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c r="X10" s="79"/>
      <c r="Y10" s="79"/>
      <c r="Z10" s="79"/>
      <c r="AA10" s="79"/>
      <c r="AB10" s="79"/>
      <c r="AC10" s="79"/>
      <c r="AD10" s="79"/>
      <c r="AE10" s="79"/>
      <c r="AF10" s="79"/>
      <c r="AG10" s="79"/>
      <c r="AH10" s="79"/>
      <c r="AI10" s="79"/>
      <c r="AJ10" s="35">
        <f t="shared" si="0"/>
        <v>0</v>
      </c>
      <c r="AK10" s="37"/>
    </row>
    <row r="11" spans="2:37" x14ac:dyDescent="0.25">
      <c r="B11" s="36">
        <v>6</v>
      </c>
      <c r="C11" s="216" t="s">
        <v>108</v>
      </c>
      <c r="D11" s="216"/>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c r="X11" s="79"/>
      <c r="Y11" s="79"/>
      <c r="Z11" s="79"/>
      <c r="AA11" s="79"/>
      <c r="AB11" s="79"/>
      <c r="AC11" s="79"/>
      <c r="AD11" s="79"/>
      <c r="AE11" s="79"/>
      <c r="AF11" s="79"/>
      <c r="AG11" s="79"/>
      <c r="AH11" s="79"/>
      <c r="AI11" s="79"/>
      <c r="AJ11" s="35">
        <f t="shared" si="0"/>
        <v>0</v>
      </c>
      <c r="AK11" s="37"/>
    </row>
    <row r="12" spans="2:37" x14ac:dyDescent="0.25">
      <c r="B12" s="34">
        <v>7</v>
      </c>
      <c r="C12" s="216" t="s">
        <v>109</v>
      </c>
      <c r="D12" s="216"/>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c r="X12" s="79"/>
      <c r="Y12" s="79"/>
      <c r="Z12" s="79"/>
      <c r="AA12" s="79"/>
      <c r="AB12" s="79"/>
      <c r="AC12" s="79"/>
      <c r="AD12" s="79"/>
      <c r="AE12" s="79"/>
      <c r="AF12" s="79"/>
      <c r="AG12" s="79"/>
      <c r="AH12" s="79"/>
      <c r="AI12" s="79"/>
      <c r="AJ12" s="35">
        <f t="shared" si="0"/>
        <v>0</v>
      </c>
      <c r="AK12" s="37"/>
    </row>
    <row r="13" spans="2:37" x14ac:dyDescent="0.25">
      <c r="B13" s="36">
        <v>8</v>
      </c>
      <c r="C13" s="223" t="s">
        <v>110</v>
      </c>
      <c r="D13" s="224"/>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c r="X13" s="79"/>
      <c r="Y13" s="79"/>
      <c r="Z13" s="79"/>
      <c r="AA13" s="79"/>
      <c r="AB13" s="79"/>
      <c r="AC13" s="79"/>
      <c r="AD13" s="79"/>
      <c r="AE13" s="79"/>
      <c r="AF13" s="79"/>
      <c r="AG13" s="79"/>
      <c r="AH13" s="79"/>
      <c r="AI13" s="79"/>
      <c r="AJ13" s="35">
        <f t="shared" si="0"/>
        <v>0</v>
      </c>
      <c r="AK13" s="37"/>
    </row>
    <row r="14" spans="2:37" x14ac:dyDescent="0.25">
      <c r="B14" s="36">
        <v>9</v>
      </c>
      <c r="C14" s="216" t="s">
        <v>111</v>
      </c>
      <c r="D14" s="216"/>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c r="X14" s="79"/>
      <c r="Y14" s="79"/>
      <c r="Z14" s="79"/>
      <c r="AA14" s="79"/>
      <c r="AB14" s="79"/>
      <c r="AC14" s="79"/>
      <c r="AD14" s="79"/>
      <c r="AE14" s="79"/>
      <c r="AF14" s="79"/>
      <c r="AG14" s="79"/>
      <c r="AH14" s="79"/>
      <c r="AI14" s="79"/>
      <c r="AJ14" s="35">
        <f t="shared" si="0"/>
        <v>0</v>
      </c>
      <c r="AK14" s="37"/>
    </row>
    <row r="15" spans="2:37" x14ac:dyDescent="0.25">
      <c r="B15" s="34">
        <v>10</v>
      </c>
      <c r="C15" s="225" t="s">
        <v>112</v>
      </c>
      <c r="D15" s="225"/>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c r="X15" s="79"/>
      <c r="Y15" s="79"/>
      <c r="Z15" s="79"/>
      <c r="AA15" s="79"/>
      <c r="AB15" s="79"/>
      <c r="AC15" s="79"/>
      <c r="AD15" s="79"/>
      <c r="AE15" s="79"/>
      <c r="AF15" s="79"/>
      <c r="AG15" s="79"/>
      <c r="AH15" s="79"/>
      <c r="AI15" s="79"/>
      <c r="AJ15" s="35">
        <f t="shared" si="0"/>
        <v>72</v>
      </c>
      <c r="AK15" s="37"/>
    </row>
    <row r="16" spans="2:37" x14ac:dyDescent="0.25">
      <c r="B16" s="36">
        <v>11</v>
      </c>
      <c r="C16" s="225" t="s">
        <v>113</v>
      </c>
      <c r="D16" s="225"/>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c r="X16" s="79"/>
      <c r="Y16" s="79"/>
      <c r="Z16" s="79"/>
      <c r="AA16" s="79"/>
      <c r="AB16" s="79"/>
      <c r="AC16" s="79"/>
      <c r="AD16" s="79"/>
      <c r="AE16" s="79"/>
      <c r="AF16" s="79"/>
      <c r="AG16" s="79"/>
      <c r="AH16" s="79"/>
      <c r="AI16" s="79"/>
      <c r="AJ16" s="35">
        <f t="shared" si="0"/>
        <v>0</v>
      </c>
      <c r="AK16" s="38"/>
    </row>
    <row r="17" spans="2:37" x14ac:dyDescent="0.25">
      <c r="B17" s="34">
        <v>12</v>
      </c>
      <c r="C17" s="225" t="s">
        <v>114</v>
      </c>
      <c r="D17" s="225"/>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c r="X17" s="79"/>
      <c r="Y17" s="79"/>
      <c r="Z17" s="79"/>
      <c r="AA17" s="79"/>
      <c r="AB17" s="79"/>
      <c r="AC17" s="79"/>
      <c r="AD17" s="79"/>
      <c r="AE17" s="79"/>
      <c r="AF17" s="79"/>
      <c r="AG17" s="79"/>
      <c r="AH17" s="79"/>
      <c r="AI17" s="79"/>
      <c r="AJ17" s="35">
        <f t="shared" si="0"/>
        <v>0</v>
      </c>
      <c r="AK17" s="37"/>
    </row>
    <row r="18" spans="2:37" x14ac:dyDescent="0.25">
      <c r="B18" s="36">
        <v>13</v>
      </c>
      <c r="C18" s="225" t="s">
        <v>115</v>
      </c>
      <c r="D18" s="225"/>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c r="X18" s="79"/>
      <c r="Y18" s="79"/>
      <c r="Z18" s="79"/>
      <c r="AA18" s="79"/>
      <c r="AB18" s="79"/>
      <c r="AC18" s="79"/>
      <c r="AD18" s="79"/>
      <c r="AE18" s="79"/>
      <c r="AF18" s="79"/>
      <c r="AG18" s="79"/>
      <c r="AH18" s="79"/>
      <c r="AI18" s="79"/>
      <c r="AJ18" s="35">
        <f t="shared" si="0"/>
        <v>0</v>
      </c>
      <c r="AK18" s="37"/>
    </row>
    <row r="19" spans="2:37" ht="15.75" thickBot="1" x14ac:dyDescent="0.3">
      <c r="B19" s="39">
        <v>14</v>
      </c>
      <c r="C19" s="222" t="s">
        <v>116</v>
      </c>
      <c r="D19" s="222"/>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c r="X19" s="80"/>
      <c r="Y19" s="80"/>
      <c r="Z19" s="80"/>
      <c r="AA19" s="80"/>
      <c r="AB19" s="80"/>
      <c r="AC19" s="80"/>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9:D19"/>
    <mergeCell ref="C13:D13"/>
    <mergeCell ref="C14:D14"/>
    <mergeCell ref="C15:D15"/>
    <mergeCell ref="C16:D16"/>
    <mergeCell ref="C17:D17"/>
    <mergeCell ref="C18:D18"/>
    <mergeCell ref="C12:D12"/>
    <mergeCell ref="C3:T3"/>
    <mergeCell ref="U3:AA3"/>
    <mergeCell ref="AB3:AJ3"/>
    <mergeCell ref="E4:AJ4"/>
    <mergeCell ref="C5:D5"/>
    <mergeCell ref="C6:D6"/>
    <mergeCell ref="C7:D7"/>
    <mergeCell ref="C8:D8"/>
    <mergeCell ref="C9:D9"/>
    <mergeCell ref="C10:D10"/>
    <mergeCell ref="C11:D1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2026-06-18T22:35:51Z</dcterms:modified>
</cp:coreProperties>
</file>