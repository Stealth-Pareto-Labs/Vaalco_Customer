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124226"/>
  <xr:revisionPtr revIDLastSave="0" documentId="13_ncr:1_{DAC04FB7-E23E-43C4-9A80-4CA0F6CA8906}" xr6:coauthVersionLast="47" xr6:coauthVersionMax="47" xr10:uidLastSave="{00000000-0000-0000-0000-000000000000}"/>
  <bookViews>
    <workbookView xWindow="-120" yWindow="-120" windowWidth="29040" windowHeight="15720" xr2:uid="{00000000-000D-0000-FFFF-FFFF00000000}"/>
  </bookViews>
  <sheets>
    <sheet name="DPR-XXX" sheetId="12" r:id="rId1"/>
    <sheet name="Technical Info" sheetId="11" r:id="rId2"/>
    <sheet name="HSE Statistics" sheetId="10" r:id="rId3"/>
  </sheets>
  <definedNames>
    <definedName name="_xlnm.Print_Area" localSheetId="0">'DPR-XXX'!$A$1:$H$90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82" i="12" l="1"/>
  <c r="C81" i="12"/>
  <c r="D40" i="12"/>
  <c r="E40" i="12"/>
  <c r="F40" i="12"/>
  <c r="D41" i="12"/>
  <c r="E41" i="12"/>
  <c r="F41" i="12"/>
  <c r="D42" i="12"/>
  <c r="E42" i="12"/>
  <c r="F42" i="12"/>
  <c r="D43" i="12"/>
  <c r="E43" i="12"/>
  <c r="F43" i="12"/>
  <c r="D44" i="12"/>
  <c r="D45" i="12"/>
  <c r="E45" i="12"/>
  <c r="F45" i="12"/>
  <c r="D46" i="12"/>
  <c r="E46" i="12"/>
  <c r="F46" i="12"/>
  <c r="D47" i="12"/>
  <c r="E47" i="12"/>
  <c r="F47" i="12"/>
  <c r="D48" i="12"/>
  <c r="E48" i="12"/>
  <c r="F48" i="12"/>
  <c r="D49" i="12"/>
  <c r="E49" i="12"/>
  <c r="F49" i="12"/>
  <c r="C80" i="12"/>
  <c r="C79" i="12"/>
  <c r="C78" i="12"/>
  <c r="C77" i="12"/>
  <c r="E35" i="12"/>
  <c r="C76" i="12"/>
  <c r="C75" i="12"/>
  <c r="C74" i="12"/>
  <c r="C73" i="12"/>
  <c r="C72" i="12"/>
  <c r="C71" i="12"/>
  <c r="D66" i="12"/>
  <c r="D65" i="12"/>
  <c r="D64" i="12"/>
  <c r="D61" i="12"/>
  <c r="D60" i="12"/>
  <c r="D62" i="12"/>
  <c r="D63" i="12"/>
  <c r="D67" i="12"/>
  <c r="E33" i="12" l="1"/>
  <c r="G25" i="12" l="1"/>
  <c r="G28" i="12" l="1"/>
  <c r="G29" i="12"/>
  <c r="G30" i="12"/>
  <c r="H10" i="12"/>
  <c r="G20" i="12"/>
  <c r="G16" i="12" l="1"/>
  <c r="E36" i="12" l="1"/>
  <c r="H13" i="12" l="1"/>
  <c r="G17" i="12" l="1"/>
  <c r="G24" i="12"/>
  <c r="AJ17" i="10" l="1"/>
  <c r="G27" i="12" l="1"/>
  <c r="G23" i="12"/>
  <c r="G21" i="12"/>
  <c r="G26" i="12"/>
  <c r="G22" i="12"/>
  <c r="G19" i="12"/>
  <c r="G18" i="12"/>
  <c r="AJ8" i="10"/>
  <c r="AJ9" i="10"/>
  <c r="AJ10" i="10"/>
  <c r="AJ11" i="10"/>
  <c r="AJ12" i="10"/>
  <c r="AJ13" i="10"/>
  <c r="AJ14" i="10"/>
  <c r="AJ15" i="10"/>
  <c r="AJ16" i="10"/>
  <c r="AJ18" i="10"/>
  <c r="AJ19" i="10"/>
  <c r="AJ7" i="10" l="1"/>
</calcChain>
</file>

<file path=xl/sharedStrings.xml><?xml version="1.0" encoding="utf-8"?>
<sst xmlns="http://schemas.openxmlformats.org/spreadsheetml/2006/main" count="420" uniqueCount="241">
  <si>
    <t>Vessel:</t>
  </si>
  <si>
    <t>Location &amp; Plan:</t>
  </si>
  <si>
    <t>Date:</t>
  </si>
  <si>
    <t>Position</t>
  </si>
  <si>
    <t>Name</t>
  </si>
  <si>
    <t>Company</t>
  </si>
  <si>
    <t>Activity last 24H:</t>
  </si>
  <si>
    <t xml:space="preserve">DAILY WORK PROGRESS REPORT </t>
  </si>
  <si>
    <t>START</t>
  </si>
  <si>
    <t>DURATION</t>
  </si>
  <si>
    <t>OPERATION</t>
  </si>
  <si>
    <t>Fluid type</t>
  </si>
  <si>
    <t>Prev. Balance</t>
  </si>
  <si>
    <t>Unit</t>
  </si>
  <si>
    <t>Comments</t>
  </si>
  <si>
    <t>Balance</t>
  </si>
  <si>
    <t>Bunk in</t>
  </si>
  <si>
    <t>Bunk out</t>
  </si>
  <si>
    <t>Personnel management</t>
  </si>
  <si>
    <t>IN</t>
  </si>
  <si>
    <t>Personnel</t>
  </si>
  <si>
    <t>L</t>
  </si>
  <si>
    <t>Fluid consumption / produced</t>
  </si>
  <si>
    <t>PASSENGER</t>
  </si>
  <si>
    <t>ARRIVAL DATE</t>
  </si>
  <si>
    <t>Sewage</t>
  </si>
  <si>
    <t>Consumed / Produced</t>
  </si>
  <si>
    <t>m³</t>
  </si>
  <si>
    <t xml:space="preserve">POB </t>
  </si>
  <si>
    <t xml:space="preserve">CREW </t>
  </si>
  <si>
    <t xml:space="preserve">OUT </t>
  </si>
  <si>
    <t>OTHER</t>
  </si>
  <si>
    <t>POB  NUMBER</t>
  </si>
  <si>
    <t xml:space="preserve">SUBTOTAL </t>
  </si>
  <si>
    <t>ETA</t>
  </si>
  <si>
    <t>Transit Route 
From / To</t>
  </si>
  <si>
    <t>Distance to go
(Nm)</t>
  </si>
  <si>
    <t>TRANSIT INFORMATION</t>
  </si>
  <si>
    <t>TEMPERATURE</t>
  </si>
  <si>
    <t>COMMENTS</t>
  </si>
  <si>
    <t xml:space="preserve">DEPARTURE DATE </t>
  </si>
  <si>
    <t>POB TOTAL @ 24H</t>
  </si>
  <si>
    <t>POB - PREVIOUS 24H</t>
  </si>
  <si>
    <t>LATITUDE</t>
  </si>
  <si>
    <t>LONGITUDE</t>
  </si>
  <si>
    <t xml:space="preserve">                       </t>
  </si>
  <si>
    <t>Fresh Water</t>
  </si>
  <si>
    <t>M/E Lub oil</t>
  </si>
  <si>
    <t>A/E Lub oil</t>
  </si>
  <si>
    <t>Hydraulic oil</t>
  </si>
  <si>
    <t>Fuel - MGO</t>
  </si>
  <si>
    <t>Mud</t>
  </si>
  <si>
    <t>Brine</t>
  </si>
  <si>
    <t>Cement</t>
  </si>
  <si>
    <t>Barite</t>
  </si>
  <si>
    <t xml:space="preserve">Bentonite </t>
  </si>
  <si>
    <t>Dirty Oil</t>
  </si>
  <si>
    <t>Sludges</t>
  </si>
  <si>
    <t>Tons</t>
  </si>
  <si>
    <t>MACHINERY</t>
  </si>
  <si>
    <t>Run hours from last report</t>
  </si>
  <si>
    <t>Run hrs for bow thruster  1</t>
  </si>
  <si>
    <t>Run hrs for bow thruster  2</t>
  </si>
  <si>
    <t>Run hrs for stern thruster</t>
  </si>
  <si>
    <t xml:space="preserve">Monthly </t>
  </si>
  <si>
    <t>Since last O/H</t>
  </si>
  <si>
    <t>Run hrs for Port ME</t>
  </si>
  <si>
    <t>Run hrs for Stbd ME</t>
  </si>
  <si>
    <t>Run hrs for Main towing winch</t>
  </si>
  <si>
    <t>Run hrs for crane</t>
  </si>
  <si>
    <t>SES</t>
  </si>
  <si>
    <t>SFS</t>
  </si>
  <si>
    <t>AHO</t>
  </si>
  <si>
    <t>SOP</t>
  </si>
  <si>
    <t>TOP</t>
  </si>
  <si>
    <t>IDP</t>
  </si>
  <si>
    <t>IAS</t>
  </si>
  <si>
    <t>TOTAL HOURS (24)</t>
  </si>
  <si>
    <t>Location / Field</t>
  </si>
  <si>
    <t>TOTAL HOURS ON DP</t>
  </si>
  <si>
    <t>0</t>
  </si>
  <si>
    <t>Categories</t>
  </si>
  <si>
    <t>To date</t>
  </si>
  <si>
    <t>Today</t>
  </si>
  <si>
    <t>TOTAL</t>
  </si>
  <si>
    <t>PTW : Permit to work</t>
  </si>
  <si>
    <t>Tool Box Meetings</t>
  </si>
  <si>
    <t>Drills</t>
  </si>
  <si>
    <t>Risk Assessments/JSA's</t>
  </si>
  <si>
    <t>Workdays lost</t>
  </si>
  <si>
    <t>PD : Property Damage</t>
  </si>
  <si>
    <t>Near Misses</t>
  </si>
  <si>
    <t>Medical Reports</t>
  </si>
  <si>
    <t>HSE</t>
  </si>
  <si>
    <t>Navigator Z</t>
  </si>
  <si>
    <t>Run hrs for generator No1 (P)</t>
  </si>
  <si>
    <t>Run hrs for generator No2 (S)</t>
  </si>
  <si>
    <t>N/A</t>
  </si>
  <si>
    <t xml:space="preserve">HSE Statistics </t>
  </si>
  <si>
    <t>Month</t>
  </si>
  <si>
    <t>Days</t>
  </si>
  <si>
    <t>S/N</t>
  </si>
  <si>
    <t>Indicators</t>
  </si>
  <si>
    <t>Total</t>
  </si>
  <si>
    <t>Remarks</t>
  </si>
  <si>
    <t>Near misses</t>
  </si>
  <si>
    <t>Incidents - Accidents</t>
  </si>
  <si>
    <t>FAC (First Aid Cases)</t>
  </si>
  <si>
    <t>MTC (Medical Treatment Cases)</t>
  </si>
  <si>
    <t>LTI (Lost Time Injury)</t>
  </si>
  <si>
    <t>RWDC (Restricted Work Day Cases)</t>
  </si>
  <si>
    <t>PTW (Permit To Work)</t>
  </si>
  <si>
    <t>Daily tool box talks</t>
  </si>
  <si>
    <t>Training Hours</t>
  </si>
  <si>
    <t>Safety Meetings</t>
  </si>
  <si>
    <t>Safety Observation Cards ( SOC)</t>
  </si>
  <si>
    <t>Audit/Inspections</t>
  </si>
  <si>
    <t>Explanation:</t>
  </si>
  <si>
    <r>
      <rPr>
        <b/>
        <sz val="11"/>
        <color theme="1"/>
        <rFont val="Calibri"/>
        <family val="2"/>
        <charset val="161"/>
        <scheme val="minor"/>
      </rPr>
      <t>Man Hours</t>
    </r>
    <r>
      <rPr>
        <sz val="11"/>
        <color theme="1"/>
        <rFont val="Calibri"/>
        <family val="2"/>
        <charset val="204"/>
        <scheme val="minor"/>
      </rPr>
      <t xml:space="preserve"> is POB x working hours per POB </t>
    </r>
  </si>
  <si>
    <r>
      <rPr>
        <b/>
        <sz val="11"/>
        <color theme="1"/>
        <rFont val="Calibri"/>
        <family val="2"/>
        <charset val="161"/>
        <scheme val="minor"/>
      </rPr>
      <t>First Aid Case (FAC)</t>
    </r>
    <r>
      <rPr>
        <sz val="11"/>
        <color theme="1"/>
        <rFont val="Calibri"/>
        <family val="2"/>
        <charset val="204"/>
        <scheme val="minor"/>
      </rPr>
      <t xml:space="preserve"> This is any one-time treatment and subsequent observation or minor injuries such as C28 D25 cuts, burns, splinters, etc.</t>
    </r>
  </si>
  <si>
    <r>
      <rPr>
        <b/>
        <sz val="11"/>
        <color theme="1"/>
        <rFont val="Calibri"/>
        <family val="2"/>
        <charset val="161"/>
        <scheme val="minor"/>
      </rPr>
      <t xml:space="preserve">Medical Treatment Case (MTC) </t>
    </r>
    <r>
      <rPr>
        <sz val="11"/>
        <color theme="1"/>
        <rFont val="Calibri"/>
        <family val="2"/>
        <charset val="204"/>
        <scheme val="minor"/>
      </rPr>
      <t>Any work related injury that involves neither lost workdays nor restricted workdays but which requires treatment by a physician or other medical specialist.</t>
    </r>
  </si>
  <si>
    <r>
      <rPr>
        <b/>
        <sz val="11"/>
        <color theme="1"/>
        <rFont val="Calibri"/>
        <family val="2"/>
        <charset val="161"/>
        <scheme val="minor"/>
      </rPr>
      <t>LTI (Lost Time Injury)</t>
    </r>
    <r>
      <rPr>
        <sz val="11"/>
        <color theme="1"/>
        <rFont val="Calibri"/>
        <family val="2"/>
        <charset val="204"/>
        <scheme val="minor"/>
      </rPr>
      <t xml:space="preserve"> A workplace injury is only considered an LTI if the worker is unable to perform their regular duties, takes time off to recover or is assigned to modified tasks while they heal.</t>
    </r>
  </si>
  <si>
    <r>
      <t xml:space="preserve">Restricted work day case (RWDC) </t>
    </r>
    <r>
      <rPr>
        <sz val="11"/>
        <color theme="1"/>
        <rFont val="Calibri"/>
        <family val="2"/>
        <charset val="161"/>
        <scheme val="minor"/>
      </rPr>
      <t xml:space="preserve">Any work-related injury other than a fatality or lost work day case which results in a person being unfit for full performance of the regular job on any day after the occupational injury. </t>
    </r>
  </si>
  <si>
    <t>HVI Plus100</t>
  </si>
  <si>
    <t>SEA STATE</t>
  </si>
  <si>
    <t>FINISH</t>
  </si>
  <si>
    <t>Gear Oil</t>
  </si>
  <si>
    <t>TECHNICAL INFO</t>
  </si>
  <si>
    <t>M/E  No1</t>
  </si>
  <si>
    <t>M/E  No2</t>
  </si>
  <si>
    <t>Engine RPM</t>
  </si>
  <si>
    <t>Prop. Pitch [%]</t>
  </si>
  <si>
    <t>Sumptank [lt]</t>
  </si>
  <si>
    <t>Exhaust gas temp [*C]</t>
  </si>
  <si>
    <t>NoΑ1</t>
  </si>
  <si>
    <t>NoΑ2</t>
  </si>
  <si>
    <t>NoΑ3</t>
  </si>
  <si>
    <t>NoΑ4</t>
  </si>
  <si>
    <t>NoΑ5</t>
  </si>
  <si>
    <t>NoΑ6</t>
  </si>
  <si>
    <t>NoΒ1</t>
  </si>
  <si>
    <t>NoΒ2</t>
  </si>
  <si>
    <t>NoΒ3</t>
  </si>
  <si>
    <t>NoΒ4</t>
  </si>
  <si>
    <t>NoΒ5</t>
  </si>
  <si>
    <t>NoΒ6</t>
  </si>
  <si>
    <t>Deviation</t>
  </si>
  <si>
    <t>T/C No1</t>
  </si>
  <si>
    <t>T/C No2</t>
  </si>
  <si>
    <t>Exhaust gas Temp (Before / After) [*C]</t>
  </si>
  <si>
    <t>RPM</t>
  </si>
  <si>
    <t>Scav Pressure (Before / After Cooler) [bar]</t>
  </si>
  <si>
    <t>ΔP</t>
  </si>
  <si>
    <t>0 bar</t>
  </si>
  <si>
    <t>LO Pressure [bar]</t>
  </si>
  <si>
    <t>FO Pressure [bar]</t>
  </si>
  <si>
    <t>HT Temp [*C] (Before / After Cooler)</t>
  </si>
  <si>
    <t>HT Pressure [bar] (Before / After Cooler)</t>
  </si>
  <si>
    <t>SW Temp [*C] (Before / After Cooler)</t>
  </si>
  <si>
    <t>SW Pressure [bar] (Before / After Cooler)</t>
  </si>
  <si>
    <t>DG No1</t>
  </si>
  <si>
    <t>DG No2</t>
  </si>
  <si>
    <t>No1</t>
  </si>
  <si>
    <t>No2</t>
  </si>
  <si>
    <t>No3</t>
  </si>
  <si>
    <t>No4</t>
  </si>
  <si>
    <t>No5</t>
  </si>
  <si>
    <t>No6</t>
  </si>
  <si>
    <t>No7</t>
  </si>
  <si>
    <t>No8</t>
  </si>
  <si>
    <t>No9</t>
  </si>
  <si>
    <t>No10</t>
  </si>
  <si>
    <t>No11</t>
  </si>
  <si>
    <t>No12</t>
  </si>
  <si>
    <t>Alternator</t>
  </si>
  <si>
    <t xml:space="preserve">T/C </t>
  </si>
  <si>
    <t>Fwd Bearing temp</t>
  </si>
  <si>
    <t>Aft Bearing temp</t>
  </si>
  <si>
    <t>S/G No1</t>
  </si>
  <si>
    <t>S/G No2</t>
  </si>
  <si>
    <t>Intermediate Bearings Temperature</t>
  </si>
  <si>
    <t>Port side Forward</t>
  </si>
  <si>
    <t>Starboard side Forward</t>
  </si>
  <si>
    <t xml:space="preserve">Port side Aft </t>
  </si>
  <si>
    <t xml:space="preserve">Starboard side Aft </t>
  </si>
  <si>
    <t>Engine load [kw[%]]</t>
  </si>
  <si>
    <t>CURRENT                 (speed &amp; dir.)</t>
  </si>
  <si>
    <t>Total Distance covered (Nm)</t>
  </si>
  <si>
    <t>Average Speed
(Kts)</t>
  </si>
  <si>
    <t>Distance covered
(Nm)</t>
  </si>
  <si>
    <t xml:space="preserve">Distance
(Nm) </t>
  </si>
  <si>
    <t>Total Average Speed
(Kts)</t>
  </si>
  <si>
    <t xml:space="preserve">TOTAL R/H
</t>
  </si>
  <si>
    <t>Man - Hours</t>
  </si>
  <si>
    <t>POB (Personnel onboard)</t>
  </si>
  <si>
    <t>NA</t>
  </si>
  <si>
    <t>Deck Air Compressor</t>
  </si>
  <si>
    <t>0 *C</t>
  </si>
  <si>
    <t>Last Lube oil change</t>
  </si>
  <si>
    <t>Next Lube oil change</t>
  </si>
  <si>
    <t>20*C</t>
  </si>
  <si>
    <t>Cladium 100</t>
  </si>
  <si>
    <t>Bilge Water</t>
  </si>
  <si>
    <r>
      <t xml:space="preserve">HOURS ON DP </t>
    </r>
    <r>
      <rPr>
        <b/>
        <sz val="11"/>
        <color theme="0"/>
        <rFont val="Arial"/>
        <family val="2"/>
      </rPr>
      <t>(SES: sailing at eco speed, SFS: sailing at full speed, AHO: AH ops, SOP: Supply ops, TOP: Towing ops, IDP: Idle at port, IAS: Idle at sea)</t>
    </r>
  </si>
  <si>
    <t>Gabon</t>
  </si>
  <si>
    <t>Moderate</t>
  </si>
  <si>
    <t>WIND (kn)</t>
  </si>
  <si>
    <r>
      <t xml:space="preserve">OPERATIONS </t>
    </r>
    <r>
      <rPr>
        <b/>
        <sz val="11"/>
        <color theme="0"/>
        <rFont val="Arial"/>
        <family val="2"/>
      </rPr>
      <t>(SES: sailing at eco speed, SFS: sailing at full speed, AHO: AH ops, SOP: Supply ops, TOP: Towing ops, IDP: Idle at port, IAS: Idle at sea)</t>
    </r>
  </si>
  <si>
    <t>VAR</t>
  </si>
  <si>
    <t xml:space="preserve"> C</t>
  </si>
  <si>
    <t>51380 (1200h)</t>
  </si>
  <si>
    <t>49640 (1200h)</t>
  </si>
  <si>
    <t>June</t>
  </si>
  <si>
    <t>15W-40</t>
  </si>
  <si>
    <t>ETAME Field</t>
  </si>
  <si>
    <t>46398 (400h)</t>
  </si>
  <si>
    <t>52980 (250h)</t>
  </si>
  <si>
    <t>4</t>
  </si>
  <si>
    <t xml:space="preserve"> </t>
  </si>
  <si>
    <t xml:space="preserve">VSL Steaming at oil field </t>
  </si>
  <si>
    <t>DP Mode. ETAME pax tx.</t>
  </si>
  <si>
    <t>Vaalco</t>
  </si>
  <si>
    <t>Letadi Makoki Landry</t>
  </si>
  <si>
    <t>Mounguengui Jean Yves</t>
  </si>
  <si>
    <t>DP Mode. Cargo ops., FSO Teli.</t>
  </si>
  <si>
    <t>DP Mode. Joystick transit to FSO Teli.</t>
  </si>
  <si>
    <t>Dianga Koumba Eddy Lens</t>
  </si>
  <si>
    <t>Lepinda Buchycka Hanyfa</t>
  </si>
  <si>
    <t>Manfoumbi Audrey G</t>
  </si>
  <si>
    <t>DP Mode. Stby out 500 m zone , instruction from FSO Teli.</t>
  </si>
  <si>
    <t>03-51 S</t>
  </si>
  <si>
    <t>26.06.2026</t>
  </si>
  <si>
    <t>VSL uw to SEENT</t>
  </si>
  <si>
    <t>DP Mode. SEENT platform. Stby out 500 m zone .</t>
  </si>
  <si>
    <t>VSL uw to ETAME platform.</t>
  </si>
  <si>
    <t>DP Mode. ETAME platform.</t>
  </si>
  <si>
    <t>010-32 E</t>
  </si>
  <si>
    <t>S 12</t>
  </si>
  <si>
    <t>17.5</t>
  </si>
  <si>
    <t>25</t>
  </si>
  <si>
    <t>DP Mode. SEENT platform. Cargo ops. Bunkering FW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</si>
</sst>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Red]0.0"/>
  </numFmts>
  <fonts count="46" x14ac:knownFonts="1">
    <font>
      <sz val="11"/>
      <color theme="1"/>
      <name val="Calibri"/>
      <family val="2"/>
      <charset val="20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61"/>
      <scheme val="minor"/>
    </font>
    <font>
      <sz val="11"/>
      <color theme="1"/>
      <name val="Calibri"/>
      <family val="2"/>
      <charset val="161"/>
      <scheme val="minor"/>
    </font>
    <font>
      <sz val="10"/>
      <name val="Arial"/>
      <family val="2"/>
      <charset val="204"/>
    </font>
    <font>
      <b/>
      <i/>
      <sz val="10"/>
      <name val="Arial"/>
      <family val="2"/>
      <charset val="204"/>
    </font>
    <font>
      <i/>
      <sz val="10"/>
      <color rgb="FF0000FF"/>
      <name val="Arial"/>
      <family val="2"/>
    </font>
    <font>
      <i/>
      <sz val="10"/>
      <name val="Arial"/>
      <family val="2"/>
    </font>
    <font>
      <sz val="10"/>
      <name val="Arial"/>
      <family val="2"/>
    </font>
    <font>
      <b/>
      <sz val="10"/>
      <name val="Arial"/>
      <family val="2"/>
    </font>
    <font>
      <b/>
      <sz val="12"/>
      <name val="Arial"/>
      <family val="2"/>
    </font>
    <font>
      <b/>
      <sz val="10"/>
      <name val="Arial"/>
      <family val="2"/>
      <charset val="161"/>
    </font>
    <font>
      <b/>
      <sz val="14"/>
      <color theme="0"/>
      <name val="Arial"/>
      <family val="2"/>
    </font>
    <font>
      <b/>
      <i/>
      <sz val="14"/>
      <color theme="0"/>
      <name val="Arial"/>
      <family val="2"/>
      <charset val="204"/>
    </font>
    <font>
      <b/>
      <i/>
      <sz val="10"/>
      <color theme="0"/>
      <name val="Arial"/>
      <family val="2"/>
      <charset val="204"/>
    </font>
    <font>
      <b/>
      <sz val="16"/>
      <color theme="1"/>
      <name val="Arial"/>
      <family val="2"/>
    </font>
    <font>
      <sz val="10"/>
      <color rgb="FF002060"/>
      <name val="Arial"/>
      <family val="2"/>
    </font>
    <font>
      <sz val="18"/>
      <color rgb="FF002060"/>
      <name val="Arial"/>
      <family val="2"/>
    </font>
    <font>
      <b/>
      <sz val="10"/>
      <color rgb="FF002060"/>
      <name val="Arial"/>
      <family val="2"/>
    </font>
    <font>
      <i/>
      <sz val="10"/>
      <color rgb="FF002060"/>
      <name val="Arial"/>
      <family val="2"/>
    </font>
    <font>
      <b/>
      <i/>
      <sz val="10"/>
      <color rgb="FF002060"/>
      <name val="Arial"/>
      <family val="2"/>
    </font>
    <font>
      <sz val="11"/>
      <name val="Calibri"/>
      <family val="2"/>
      <charset val="161"/>
      <scheme val="minor"/>
    </font>
    <font>
      <i/>
      <sz val="10"/>
      <color theme="3"/>
      <name val="Arial"/>
      <family val="2"/>
    </font>
    <font>
      <b/>
      <sz val="11"/>
      <color theme="1"/>
      <name val="Calibri"/>
      <family val="2"/>
      <charset val="161"/>
      <scheme val="minor"/>
    </font>
    <font>
      <b/>
      <sz val="12"/>
      <color indexed="8"/>
      <name val="Calibri"/>
      <family val="2"/>
    </font>
    <font>
      <b/>
      <sz val="14"/>
      <color indexed="8"/>
      <name val="Calibri"/>
      <family val="2"/>
    </font>
    <font>
      <sz val="11"/>
      <name val="Calibri"/>
      <family val="2"/>
    </font>
    <font>
      <sz val="8"/>
      <color indexed="8"/>
      <name val="Calibri"/>
      <family val="2"/>
    </font>
    <font>
      <b/>
      <sz val="11"/>
      <color theme="1"/>
      <name val="Calibri"/>
      <family val="2"/>
    </font>
    <font>
      <b/>
      <sz val="12"/>
      <color theme="1"/>
      <name val="Calibri"/>
      <family val="2"/>
    </font>
    <font>
      <sz val="10"/>
      <color theme="1"/>
      <name val="Calibri"/>
      <family val="2"/>
    </font>
    <font>
      <u/>
      <sz val="20"/>
      <color theme="1"/>
      <name val="Calibri"/>
      <family val="2"/>
    </font>
    <font>
      <sz val="11"/>
      <color rgb="FF000000"/>
      <name val="Calibri"/>
      <family val="2"/>
      <charset val="161"/>
      <scheme val="minor"/>
    </font>
    <font>
      <b/>
      <sz val="11"/>
      <color rgb="FF000000"/>
      <name val="Calibri"/>
      <family val="2"/>
      <charset val="161"/>
      <scheme val="minor"/>
    </font>
    <font>
      <sz val="11"/>
      <color rgb="FF002060"/>
      <name val="Arial"/>
      <family val="2"/>
    </font>
    <font>
      <b/>
      <sz val="11"/>
      <color rgb="FF000000"/>
      <name val="Calibri"/>
      <family val="2"/>
      <scheme val="minor"/>
    </font>
    <font>
      <sz val="10"/>
      <color rgb="FFFF0000"/>
      <name val="Arial"/>
      <family val="2"/>
    </font>
    <font>
      <sz val="10"/>
      <color rgb="FF0000FF"/>
      <name val="Arial"/>
      <family val="2"/>
    </font>
    <font>
      <b/>
      <sz val="12"/>
      <name val="Calibri"/>
      <family val="2"/>
    </font>
    <font>
      <sz val="10"/>
      <color theme="3"/>
      <name val="Arial"/>
      <family val="2"/>
    </font>
    <font>
      <i/>
      <sz val="9"/>
      <color rgb="FF002060"/>
      <name val="Arial"/>
      <family val="2"/>
    </font>
    <font>
      <sz val="8"/>
      <name val="Calibri"/>
      <family val="2"/>
      <charset val="204"/>
      <scheme val="minor"/>
    </font>
    <font>
      <b/>
      <sz val="11"/>
      <color theme="0"/>
      <name val="Arial"/>
      <family val="2"/>
    </font>
    <font>
      <sz val="10"/>
      <color theme="4" tint="-0.249977111117893"/>
      <name val="Arial"/>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lightDown"/>
    </fill>
    <fill>
      <patternFill patternType="solid">
        <fgColor theme="1" tint="0.34998626667073579"/>
        <bgColor indexed="64"/>
      </patternFill>
    </fill>
    <fill>
      <patternFill patternType="solid">
        <fgColor theme="0" tint="-0.249977111117893"/>
        <bgColor indexed="64"/>
      </patternFill>
    </fill>
    <fill>
      <patternFill patternType="solid">
        <fgColor rgb="FFFF0000"/>
        <bgColor indexed="64"/>
      </patternFill>
    </fill>
    <fill>
      <patternFill patternType="solid">
        <fgColor theme="2" tint="-0.499984740745262"/>
        <bgColor indexed="64"/>
      </patternFill>
    </fill>
    <fill>
      <patternFill patternType="solid">
        <fgColor theme="0" tint="-4.9989318521683403E-2"/>
        <bgColor indexed="64"/>
      </patternFill>
    </fill>
    <fill>
      <patternFill patternType="solid">
        <fgColor rgb="FFFFD966"/>
        <bgColor rgb="FF000000"/>
      </patternFill>
    </fill>
    <fill>
      <patternFill patternType="gray0625">
        <fgColor rgb="FF000000"/>
        <bgColor rgb="FF808080"/>
      </patternFill>
    </fill>
    <fill>
      <patternFill patternType="solid">
        <fgColor rgb="FF00B0F0"/>
        <bgColor rgb="FF000000"/>
      </patternFill>
    </fill>
    <fill>
      <patternFill patternType="solid">
        <fgColor rgb="FFFFFF00"/>
        <bgColor indexed="64"/>
      </patternFill>
    </fill>
  </fills>
  <borders count="56">
    <border>
      <left/>
      <right/>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diagonal/>
    </border>
    <border>
      <left style="thin">
        <color indexed="64"/>
      </left>
      <right/>
      <top style="thin">
        <color indexed="64"/>
      </top>
      <bottom style="thin">
        <color indexed="64"/>
      </bottom>
      <diagonal/>
    </border>
    <border>
      <left/>
      <right/>
      <top style="medium">
        <color indexed="64"/>
      </top>
      <bottom/>
      <diagonal/>
    </border>
    <border>
      <left style="thin">
        <color indexed="64"/>
      </left>
      <right style="thin">
        <color indexed="64"/>
      </right>
      <top style="thin">
        <color indexed="64"/>
      </top>
      <bottom/>
      <diagonal/>
    </border>
    <border>
      <left style="medium">
        <color indexed="64"/>
      </left>
      <right/>
      <top style="thin">
        <color indexed="64"/>
      </top>
      <bottom style="thin">
        <color indexed="64"/>
      </bottom>
      <diagonal/>
    </border>
    <border>
      <left/>
      <right style="thin">
        <color indexed="64"/>
      </right>
      <top style="thin">
        <color indexed="64"/>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diagonal/>
    </border>
  </borders>
  <cellStyleXfs count="4">
    <xf numFmtId="0" fontId="0" fillId="0" borderId="0"/>
    <xf numFmtId="0" fontId="6" fillId="0" borderId="0"/>
    <xf numFmtId="0" fontId="6" fillId="0" borderId="0"/>
    <xf numFmtId="0" fontId="10" fillId="0" borderId="0"/>
  </cellStyleXfs>
  <cellXfs count="215">
    <xf numFmtId="0" fontId="0" fillId="0" borderId="0" xfId="0"/>
    <xf numFmtId="0" fontId="6" fillId="0" borderId="0" xfId="1" applyAlignment="1">
      <alignment vertical="center"/>
    </xf>
    <xf numFmtId="0" fontId="10" fillId="0" borderId="0" xfId="1" applyFont="1" applyAlignment="1">
      <alignment vertical="center"/>
    </xf>
    <xf numFmtId="0" fontId="10" fillId="0" borderId="0" xfId="1" applyFont="1" applyAlignment="1">
      <alignment horizontal="center" vertical="center"/>
    </xf>
    <xf numFmtId="0" fontId="10" fillId="0" borderId="3" xfId="1" quotePrefix="1" applyFont="1" applyBorder="1" applyAlignment="1">
      <alignment horizontal="center" vertical="center"/>
    </xf>
    <xf numFmtId="0" fontId="9" fillId="3" borderId="3" xfId="1" applyFont="1" applyFill="1" applyBorder="1" applyAlignment="1">
      <alignment horizontal="center" vertical="center"/>
    </xf>
    <xf numFmtId="0" fontId="10" fillId="0" borderId="3" xfId="1" applyFont="1" applyBorder="1" applyAlignment="1">
      <alignment horizontal="center" vertical="center"/>
    </xf>
    <xf numFmtId="0" fontId="7" fillId="4" borderId="3" xfId="1" applyFont="1" applyFill="1" applyBorder="1" applyAlignment="1">
      <alignment horizontal="center" vertical="center"/>
    </xf>
    <xf numFmtId="0" fontId="12" fillId="3" borderId="3" xfId="1" applyFont="1" applyFill="1" applyBorder="1" applyAlignment="1">
      <alignment vertical="center" wrapText="1"/>
    </xf>
    <xf numFmtId="0" fontId="11" fillId="3" borderId="3" xfId="1" applyFont="1" applyFill="1" applyBorder="1" applyAlignment="1">
      <alignment horizontal="center" vertical="center"/>
    </xf>
    <xf numFmtId="0" fontId="7" fillId="3" borderId="21" xfId="1" applyFont="1" applyFill="1" applyBorder="1" applyAlignment="1">
      <alignment horizontal="center" vertical="center"/>
    </xf>
    <xf numFmtId="0" fontId="7" fillId="4" borderId="21" xfId="1" applyFont="1" applyFill="1" applyBorder="1" applyAlignment="1">
      <alignment horizontal="center" vertical="center"/>
    </xf>
    <xf numFmtId="0" fontId="6" fillId="5" borderId="6" xfId="1" applyFill="1" applyBorder="1" applyAlignment="1">
      <alignment vertical="center"/>
    </xf>
    <xf numFmtId="0" fontId="11" fillId="4" borderId="3" xfId="1" applyFont="1" applyFill="1" applyBorder="1" applyAlignment="1">
      <alignment horizontal="center" vertical="center"/>
    </xf>
    <xf numFmtId="0" fontId="7" fillId="4" borderId="3" xfId="1" quotePrefix="1" applyFont="1" applyFill="1" applyBorder="1" applyAlignment="1">
      <alignment horizontal="center" vertical="center"/>
    </xf>
    <xf numFmtId="0" fontId="13" fillId="0" borderId="20" xfId="1" applyFont="1" applyBorder="1" applyAlignment="1">
      <alignment vertical="center" wrapText="1"/>
    </xf>
    <xf numFmtId="0" fontId="14" fillId="6" borderId="18" xfId="1" applyFont="1" applyFill="1" applyBorder="1" applyAlignment="1">
      <alignment vertical="center" wrapText="1"/>
    </xf>
    <xf numFmtId="0" fontId="14" fillId="6" borderId="16" xfId="1" applyFont="1" applyFill="1" applyBorder="1" applyAlignment="1">
      <alignment vertical="center" wrapText="1"/>
    </xf>
    <xf numFmtId="0" fontId="15" fillId="6" borderId="11" xfId="1" applyFont="1" applyFill="1" applyBorder="1" applyAlignment="1">
      <alignment horizontal="left" vertical="center"/>
    </xf>
    <xf numFmtId="0" fontId="16" fillId="6" borderId="17" xfId="1" applyFont="1" applyFill="1" applyBorder="1" applyAlignment="1">
      <alignment horizontal="center" vertical="center"/>
    </xf>
    <xf numFmtId="0" fontId="16" fillId="6" borderId="13" xfId="1" applyFont="1" applyFill="1" applyBorder="1" applyAlignment="1">
      <alignment horizontal="center" vertical="center"/>
    </xf>
    <xf numFmtId="0" fontId="16" fillId="6" borderId="8" xfId="1" applyFont="1" applyFill="1" applyBorder="1" applyAlignment="1">
      <alignment horizontal="center" vertical="center"/>
    </xf>
    <xf numFmtId="0" fontId="16" fillId="6" borderId="7" xfId="1" applyFont="1" applyFill="1" applyBorder="1" applyAlignment="1">
      <alignment horizontal="left" vertical="center"/>
    </xf>
    <xf numFmtId="0" fontId="16" fillId="6" borderId="13" xfId="1" applyFont="1" applyFill="1" applyBorder="1" applyAlignment="1">
      <alignment horizontal="left" vertical="center"/>
    </xf>
    <xf numFmtId="14" fontId="18" fillId="2" borderId="19" xfId="1" applyNumberFormat="1" applyFont="1" applyFill="1" applyBorder="1" applyAlignment="1">
      <alignment horizontal="center" vertical="center"/>
    </xf>
    <xf numFmtId="0" fontId="19" fillId="2" borderId="1" xfId="0" applyFont="1" applyFill="1" applyBorder="1" applyAlignment="1">
      <alignment horizontal="center" vertical="center"/>
    </xf>
    <xf numFmtId="0" fontId="22" fillId="3" borderId="3" xfId="1" applyFont="1" applyFill="1" applyBorder="1" applyAlignment="1">
      <alignment horizontal="center" vertical="center"/>
    </xf>
    <xf numFmtId="0" fontId="11" fillId="3" borderId="3" xfId="1" applyFont="1" applyFill="1" applyBorder="1" applyAlignment="1">
      <alignment vertical="center"/>
    </xf>
    <xf numFmtId="0" fontId="15" fillId="8" borderId="11" xfId="1" applyFont="1" applyFill="1" applyBorder="1" applyAlignment="1">
      <alignment horizontal="left" vertical="center"/>
    </xf>
    <xf numFmtId="0" fontId="10" fillId="2" borderId="0" xfId="1" applyFont="1" applyFill="1" applyAlignment="1">
      <alignment horizontal="right" vertical="center"/>
    </xf>
    <xf numFmtId="0" fontId="10" fillId="9" borderId="0" xfId="1" applyFont="1" applyFill="1" applyAlignment="1">
      <alignment horizontal="center" vertical="center"/>
    </xf>
    <xf numFmtId="0" fontId="0" fillId="10" borderId="0" xfId="0" applyFill="1"/>
    <xf numFmtId="0" fontId="26" fillId="10" borderId="26" xfId="0" applyFont="1" applyFill="1" applyBorder="1" applyAlignment="1">
      <alignment horizontal="center" vertical="center"/>
    </xf>
    <xf numFmtId="0" fontId="27" fillId="10" borderId="27" xfId="0" applyFont="1" applyFill="1" applyBorder="1" applyAlignment="1">
      <alignment horizontal="center" vertical="center"/>
    </xf>
    <xf numFmtId="0" fontId="0" fillId="10" borderId="28" xfId="0" applyFill="1" applyBorder="1" applyAlignment="1">
      <alignment horizontal="center"/>
    </xf>
    <xf numFmtId="3" fontId="0" fillId="10" borderId="3" xfId="0" applyNumberFormat="1" applyFill="1" applyBorder="1" applyAlignment="1">
      <alignment horizontal="center"/>
    </xf>
    <xf numFmtId="0" fontId="0" fillId="10" borderId="30" xfId="0" applyFill="1" applyBorder="1" applyAlignment="1">
      <alignment horizontal="center"/>
    </xf>
    <xf numFmtId="0" fontId="0" fillId="10" borderId="31" xfId="0" applyFill="1" applyBorder="1"/>
    <xf numFmtId="0" fontId="29" fillId="10" borderId="31" xfId="0" applyFont="1" applyFill="1" applyBorder="1" applyAlignment="1">
      <alignment wrapText="1"/>
    </xf>
    <xf numFmtId="0" fontId="0" fillId="10" borderId="32" xfId="0" applyFill="1" applyBorder="1" applyAlignment="1">
      <alignment horizontal="center"/>
    </xf>
    <xf numFmtId="0" fontId="0" fillId="10" borderId="33" xfId="0" applyFill="1" applyBorder="1"/>
    <xf numFmtId="0" fontId="5" fillId="10" borderId="0" xfId="0" applyFont="1" applyFill="1"/>
    <xf numFmtId="0" fontId="25" fillId="10" borderId="0" xfId="0" applyFont="1" applyFill="1"/>
    <xf numFmtId="0" fontId="12" fillId="3" borderId="14" xfId="1" applyFont="1" applyFill="1" applyBorder="1" applyAlignment="1">
      <alignment vertical="center" wrapText="1"/>
    </xf>
    <xf numFmtId="0" fontId="13" fillId="3" borderId="28" xfId="1" applyFont="1" applyFill="1" applyBorder="1" applyAlignment="1">
      <alignment vertical="center" wrapText="1"/>
    </xf>
    <xf numFmtId="0" fontId="13" fillId="3" borderId="24" xfId="1" applyFont="1" applyFill="1" applyBorder="1" applyAlignment="1">
      <alignment horizontal="center" vertical="center" wrapText="1"/>
    </xf>
    <xf numFmtId="0" fontId="13" fillId="3" borderId="29" xfId="1" applyFont="1" applyFill="1" applyBorder="1" applyAlignment="1">
      <alignment horizontal="center" vertical="center"/>
    </xf>
    <xf numFmtId="0" fontId="12" fillId="3" borderId="30" xfId="1" applyFont="1" applyFill="1" applyBorder="1" applyAlignment="1">
      <alignment vertical="center" wrapText="1"/>
    </xf>
    <xf numFmtId="0" fontId="12" fillId="3" borderId="34" xfId="1" applyFont="1" applyFill="1" applyBorder="1" applyAlignment="1">
      <alignment vertical="center" wrapText="1"/>
    </xf>
    <xf numFmtId="0" fontId="13" fillId="0" borderId="36" xfId="1" applyFont="1" applyBorder="1" applyAlignment="1">
      <alignment vertical="center" wrapText="1"/>
    </xf>
    <xf numFmtId="0" fontId="15" fillId="6" borderId="0" xfId="1" applyFont="1" applyFill="1" applyAlignment="1">
      <alignment horizontal="left" vertical="center"/>
    </xf>
    <xf numFmtId="0" fontId="16" fillId="6" borderId="0" xfId="1" applyFont="1" applyFill="1" applyAlignment="1">
      <alignment horizontal="center" vertical="center"/>
    </xf>
    <xf numFmtId="0" fontId="11" fillId="3" borderId="30" xfId="1" applyFont="1" applyFill="1" applyBorder="1" applyAlignment="1">
      <alignment horizontal="left" vertical="center"/>
    </xf>
    <xf numFmtId="0" fontId="11" fillId="3" borderId="31" xfId="1" applyFont="1" applyFill="1" applyBorder="1" applyAlignment="1">
      <alignment horizontal="center" vertical="center"/>
    </xf>
    <xf numFmtId="0" fontId="11" fillId="0" borderId="30" xfId="1" applyFont="1" applyBorder="1" applyAlignment="1">
      <alignment horizontal="left" vertical="center"/>
    </xf>
    <xf numFmtId="49" fontId="21" fillId="0" borderId="31" xfId="1" applyNumberFormat="1" applyFont="1" applyBorder="1" applyAlignment="1">
      <alignment horizontal="center" vertical="center"/>
    </xf>
    <xf numFmtId="0" fontId="8" fillId="0" borderId="31" xfId="1" applyFont="1" applyBorder="1" applyAlignment="1">
      <alignment horizontal="center" vertical="center"/>
    </xf>
    <xf numFmtId="0" fontId="7" fillId="4" borderId="30" xfId="1" applyFont="1" applyFill="1" applyBorder="1" applyAlignment="1">
      <alignment horizontal="left" vertical="center"/>
    </xf>
    <xf numFmtId="0" fontId="6" fillId="5" borderId="0" xfId="1" applyFill="1" applyAlignment="1">
      <alignment vertical="center"/>
    </xf>
    <xf numFmtId="0" fontId="6" fillId="5" borderId="17" xfId="1" applyFill="1" applyBorder="1" applyAlignment="1">
      <alignment vertical="center"/>
    </xf>
    <xf numFmtId="0" fontId="9" fillId="3" borderId="30" xfId="1" applyFont="1" applyFill="1" applyBorder="1" applyAlignment="1">
      <alignment horizontal="left" vertical="center"/>
    </xf>
    <xf numFmtId="0" fontId="7" fillId="3" borderId="20" xfId="1" applyFont="1" applyFill="1" applyBorder="1" applyAlignment="1">
      <alignment horizontal="left" vertical="center"/>
    </xf>
    <xf numFmtId="0" fontId="6" fillId="5" borderId="38" xfId="1" applyFill="1" applyBorder="1" applyAlignment="1">
      <alignment vertical="center"/>
    </xf>
    <xf numFmtId="0" fontId="11" fillId="3" borderId="4" xfId="1" applyFont="1" applyFill="1" applyBorder="1" applyAlignment="1">
      <alignment vertical="center"/>
    </xf>
    <xf numFmtId="0" fontId="10" fillId="5" borderId="0" xfId="1" applyFont="1" applyFill="1" applyAlignment="1">
      <alignment vertical="center"/>
    </xf>
    <xf numFmtId="0" fontId="10" fillId="5" borderId="17" xfId="1" applyFont="1" applyFill="1" applyBorder="1" applyAlignment="1">
      <alignment vertical="center"/>
    </xf>
    <xf numFmtId="0" fontId="11" fillId="3" borderId="39" xfId="1" applyFont="1" applyFill="1" applyBorder="1" applyAlignment="1">
      <alignment vertical="center"/>
    </xf>
    <xf numFmtId="0" fontId="11" fillId="3" borderId="30" xfId="1" applyFont="1" applyFill="1" applyBorder="1" applyAlignment="1">
      <alignment horizontal="center" vertical="center"/>
    </xf>
    <xf numFmtId="0" fontId="15" fillId="8" borderId="0" xfId="1" applyFont="1" applyFill="1" applyAlignment="1">
      <alignment horizontal="left" vertical="center"/>
    </xf>
    <xf numFmtId="0" fontId="16" fillId="8" borderId="0" xfId="1" applyFont="1" applyFill="1" applyAlignment="1">
      <alignment horizontal="center" vertical="center"/>
    </xf>
    <xf numFmtId="0" fontId="23" fillId="0" borderId="11" xfId="1" applyFont="1" applyBorder="1" applyAlignment="1">
      <alignment horizontal="left" vertical="center"/>
    </xf>
    <xf numFmtId="0" fontId="21" fillId="0" borderId="0" xfId="1" applyFont="1" applyAlignment="1">
      <alignment vertical="center"/>
    </xf>
    <xf numFmtId="0" fontId="18" fillId="0" borderId="0" xfId="1" applyFont="1" applyAlignment="1">
      <alignment vertical="center"/>
    </xf>
    <xf numFmtId="0" fontId="21" fillId="0" borderId="0" xfId="1" applyFont="1" applyAlignment="1">
      <alignment horizontal="left" vertical="center"/>
    </xf>
    <xf numFmtId="0" fontId="21" fillId="0" borderId="11" xfId="1" applyFont="1" applyBorder="1" applyAlignment="1">
      <alignment horizontal="left" vertical="center"/>
    </xf>
    <xf numFmtId="0" fontId="9" fillId="3" borderId="30" xfId="1" applyFont="1" applyFill="1" applyBorder="1" applyAlignment="1">
      <alignment horizontal="center" vertical="center"/>
    </xf>
    <xf numFmtId="20" fontId="9" fillId="3" borderId="3" xfId="1" applyNumberFormat="1" applyFont="1" applyFill="1" applyBorder="1" applyAlignment="1">
      <alignment horizontal="center" vertical="center"/>
    </xf>
    <xf numFmtId="0" fontId="30" fillId="10" borderId="25" xfId="0" applyFont="1" applyFill="1" applyBorder="1" applyAlignment="1">
      <alignment vertical="center"/>
    </xf>
    <xf numFmtId="0" fontId="31" fillId="10" borderId="26" xfId="0" applyFont="1" applyFill="1" applyBorder="1" applyAlignment="1">
      <alignment horizontal="center" vertical="center"/>
    </xf>
    <xf numFmtId="0" fontId="32" fillId="10" borderId="3" xfId="0" applyFont="1" applyFill="1" applyBorder="1"/>
    <xf numFmtId="0" fontId="32" fillId="10" borderId="21" xfId="0" applyFont="1" applyFill="1" applyBorder="1"/>
    <xf numFmtId="49" fontId="21" fillId="0" borderId="3" xfId="1" applyNumberFormat="1" applyFont="1" applyBorder="1" applyAlignment="1">
      <alignment horizontal="center" vertical="center"/>
    </xf>
    <xf numFmtId="164" fontId="21" fillId="0" borderId="3" xfId="1" applyNumberFormat="1" applyFont="1" applyBorder="1" applyAlignment="1">
      <alignment horizontal="center" vertical="center"/>
    </xf>
    <xf numFmtId="0" fontId="21" fillId="0" borderId="0" xfId="1" applyFont="1" applyAlignment="1">
      <alignment horizontal="center" vertical="center"/>
    </xf>
    <xf numFmtId="1" fontId="18" fillId="0" borderId="19" xfId="1" applyNumberFormat="1" applyFont="1" applyBorder="1" applyAlignment="1">
      <alignment horizontal="center" vertical="center"/>
    </xf>
    <xf numFmtId="3" fontId="0" fillId="10" borderId="21" xfId="0" applyNumberFormat="1" applyFill="1" applyBorder="1" applyAlignment="1">
      <alignment horizontal="center"/>
    </xf>
    <xf numFmtId="164" fontId="18" fillId="0" borderId="37" xfId="1" applyNumberFormat="1" applyFont="1" applyBorder="1" applyAlignment="1">
      <alignment horizontal="center" vertical="center"/>
    </xf>
    <xf numFmtId="164" fontId="18" fillId="0" borderId="31" xfId="1" applyNumberFormat="1" applyFont="1" applyBorder="1" applyAlignment="1">
      <alignment horizontal="center" vertical="center"/>
    </xf>
    <xf numFmtId="1" fontId="36" fillId="0" borderId="4" xfId="1" applyNumberFormat="1" applyFont="1" applyBorder="1" applyAlignment="1">
      <alignment horizontal="center" vertical="center"/>
    </xf>
    <xf numFmtId="0" fontId="38" fillId="0" borderId="3" xfId="1" applyFont="1" applyBorder="1" applyAlignment="1">
      <alignment horizontal="center" vertical="center"/>
    </xf>
    <xf numFmtId="0" fontId="39" fillId="0" borderId="3" xfId="1" applyFont="1" applyBorder="1" applyAlignment="1">
      <alignment horizontal="center" vertical="center"/>
    </xf>
    <xf numFmtId="0" fontId="39" fillId="2" borderId="3" xfId="1" applyFont="1" applyFill="1" applyBorder="1" applyAlignment="1">
      <alignment horizontal="center" vertical="center"/>
    </xf>
    <xf numFmtId="0" fontId="18" fillId="0" borderId="3" xfId="1" applyFont="1" applyBorder="1" applyAlignment="1">
      <alignment horizontal="center" vertical="center"/>
    </xf>
    <xf numFmtId="0" fontId="40" fillId="10" borderId="26" xfId="0" applyFont="1" applyFill="1" applyBorder="1" applyAlignment="1">
      <alignment horizontal="center" vertical="center"/>
    </xf>
    <xf numFmtId="49" fontId="21" fillId="2" borderId="3" xfId="1" applyNumberFormat="1" applyFont="1" applyFill="1" applyBorder="1" applyAlignment="1">
      <alignment horizontal="center" vertical="center"/>
    </xf>
    <xf numFmtId="0" fontId="18" fillId="0" borderId="3" xfId="1" applyFont="1" applyBorder="1" applyAlignment="1">
      <alignment horizontal="center"/>
    </xf>
    <xf numFmtId="0" fontId="18" fillId="0" borderId="3" xfId="0" applyFont="1" applyBorder="1" applyAlignment="1">
      <alignment horizontal="center" vertical="center"/>
    </xf>
    <xf numFmtId="0" fontId="0" fillId="10" borderId="52" xfId="0" applyFill="1" applyBorder="1" applyAlignment="1">
      <alignment horizontal="center"/>
    </xf>
    <xf numFmtId="0" fontId="32" fillId="10" borderId="53" xfId="0" applyFont="1" applyFill="1" applyBorder="1"/>
    <xf numFmtId="3" fontId="0" fillId="10" borderId="53" xfId="0" applyNumberFormat="1" applyFill="1" applyBorder="1" applyAlignment="1">
      <alignment horizontal="center"/>
    </xf>
    <xf numFmtId="0" fontId="0" fillId="10" borderId="54" xfId="0" applyFill="1" applyBorder="1"/>
    <xf numFmtId="49" fontId="42" fillId="2" borderId="31" xfId="1" applyNumberFormat="1" applyFont="1" applyFill="1" applyBorder="1" applyAlignment="1">
      <alignment horizontal="center" vertical="center"/>
    </xf>
    <xf numFmtId="0" fontId="34" fillId="0" borderId="0" xfId="0" applyFont="1"/>
    <xf numFmtId="0" fontId="35" fillId="0" borderId="0" xfId="0" applyFont="1"/>
    <xf numFmtId="0" fontId="35" fillId="12" borderId="3" xfId="0" applyFont="1" applyFill="1" applyBorder="1" applyAlignment="1">
      <alignment horizontal="left"/>
    </xf>
    <xf numFmtId="0" fontId="34" fillId="12" borderId="3" xfId="0" applyFont="1" applyFill="1" applyBorder="1" applyAlignment="1">
      <alignment horizontal="left"/>
    </xf>
    <xf numFmtId="0" fontId="35" fillId="0" borderId="3" xfId="0" applyFont="1" applyBorder="1" applyAlignment="1">
      <alignment horizontal="left"/>
    </xf>
    <xf numFmtId="0" fontId="35" fillId="0" borderId="3" xfId="0" applyFont="1" applyBorder="1" applyAlignment="1">
      <alignment horizontal="center"/>
    </xf>
    <xf numFmtId="0" fontId="34" fillId="0" borderId="3" xfId="0" applyFont="1" applyBorder="1" applyAlignment="1">
      <alignment horizontal="center"/>
    </xf>
    <xf numFmtId="0" fontId="35" fillId="13" borderId="0" xfId="0" applyFont="1" applyFill="1" applyAlignment="1">
      <alignment horizontal="center"/>
    </xf>
    <xf numFmtId="0" fontId="35" fillId="13" borderId="3" xfId="0" applyFont="1" applyFill="1" applyBorder="1" applyAlignment="1">
      <alignment horizontal="center"/>
    </xf>
    <xf numFmtId="0" fontId="37" fillId="0" borderId="3" xfId="0" applyFont="1" applyBorder="1" applyAlignment="1">
      <alignment horizontal="center"/>
    </xf>
    <xf numFmtId="0" fontId="34" fillId="0" borderId="0" xfId="0" applyFont="1" applyAlignment="1">
      <alignment horizontal="center"/>
    </xf>
    <xf numFmtId="164" fontId="18" fillId="2" borderId="31" xfId="1" applyNumberFormat="1" applyFont="1" applyFill="1" applyBorder="1" applyAlignment="1">
      <alignment horizontal="center" vertical="center"/>
    </xf>
    <xf numFmtId="164" fontId="18" fillId="2" borderId="3" xfId="1" applyNumberFormat="1" applyFont="1" applyFill="1" applyBorder="1" applyAlignment="1">
      <alignment horizontal="center" vertical="center"/>
    </xf>
    <xf numFmtId="165" fontId="18" fillId="2" borderId="3" xfId="1" applyNumberFormat="1" applyFont="1" applyFill="1" applyBorder="1" applyAlignment="1">
      <alignment horizontal="center" vertical="center"/>
    </xf>
    <xf numFmtId="0" fontId="18" fillId="14" borderId="3" xfId="1" applyFont="1" applyFill="1" applyBorder="1" applyAlignment="1">
      <alignment horizontal="center"/>
    </xf>
    <xf numFmtId="0" fontId="18" fillId="14" borderId="3" xfId="0" applyFont="1" applyFill="1" applyBorder="1" applyAlignment="1">
      <alignment horizontal="center"/>
    </xf>
    <xf numFmtId="0" fontId="16" fillId="6" borderId="11" xfId="1" applyFont="1" applyFill="1" applyBorder="1" applyAlignment="1">
      <alignment horizontal="left" vertical="center"/>
    </xf>
    <xf numFmtId="0" fontId="16" fillId="6" borderId="0" xfId="1" applyFont="1" applyFill="1" applyAlignment="1">
      <alignment horizontal="left" vertical="center"/>
    </xf>
    <xf numFmtId="0" fontId="11" fillId="3" borderId="14" xfId="1" applyFont="1" applyFill="1" applyBorder="1" applyAlignment="1">
      <alignment horizontal="center" vertical="center"/>
    </xf>
    <xf numFmtId="0" fontId="11" fillId="3" borderId="34" xfId="1" applyFont="1" applyFill="1" applyBorder="1" applyAlignment="1">
      <alignment horizontal="center" vertical="center"/>
    </xf>
    <xf numFmtId="0" fontId="18" fillId="2" borderId="3" xfId="1" applyFont="1" applyFill="1" applyBorder="1" applyAlignment="1">
      <alignment horizontal="center" vertical="center"/>
    </xf>
    <xf numFmtId="0" fontId="21" fillId="2" borderId="3" xfId="1" applyFont="1" applyFill="1" applyBorder="1" applyAlignment="1">
      <alignment horizontal="center" vertical="center"/>
    </xf>
    <xf numFmtId="1" fontId="18" fillId="2" borderId="3" xfId="1" applyNumberFormat="1" applyFont="1" applyFill="1" applyBorder="1" applyAlignment="1">
      <alignment horizontal="center" vertical="center" wrapText="1"/>
    </xf>
    <xf numFmtId="20" fontId="41" fillId="2" borderId="30" xfId="1" applyNumberFormat="1" applyFont="1" applyFill="1" applyBorder="1" applyAlignment="1">
      <alignment horizontal="left" vertical="center"/>
    </xf>
    <xf numFmtId="20" fontId="41" fillId="2" borderId="3" xfId="1" applyNumberFormat="1" applyFont="1" applyFill="1" applyBorder="1" applyAlignment="1">
      <alignment horizontal="left" vertical="center"/>
    </xf>
    <xf numFmtId="164" fontId="18" fillId="2" borderId="37" xfId="1" applyNumberFormat="1" applyFont="1" applyFill="1" applyBorder="1" applyAlignment="1">
      <alignment horizontal="center" vertical="center"/>
    </xf>
    <xf numFmtId="164" fontId="18" fillId="2" borderId="19" xfId="1" applyNumberFormat="1" applyFont="1" applyFill="1" applyBorder="1" applyAlignment="1">
      <alignment horizontal="center" vertical="center"/>
    </xf>
    <xf numFmtId="0" fontId="11" fillId="2" borderId="14" xfId="1" applyFont="1" applyFill="1" applyBorder="1" applyAlignment="1">
      <alignment horizontal="center" vertical="center"/>
    </xf>
    <xf numFmtId="0" fontId="11" fillId="2" borderId="3" xfId="1" applyFont="1" applyFill="1" applyBorder="1" applyAlignment="1">
      <alignment horizontal="center" vertical="center"/>
    </xf>
    <xf numFmtId="0" fontId="11" fillId="2" borderId="3" xfId="1" applyFont="1" applyFill="1" applyBorder="1" applyAlignment="1">
      <alignment vertical="center"/>
    </xf>
    <xf numFmtId="0" fontId="10" fillId="2" borderId="14" xfId="1" applyFont="1" applyFill="1" applyBorder="1" applyAlignment="1">
      <alignment horizontal="center" vertical="center"/>
    </xf>
    <xf numFmtId="0" fontId="10" fillId="2" borderId="16" xfId="1" applyFont="1" applyFill="1" applyBorder="1" applyAlignment="1">
      <alignment horizontal="left" vertical="center"/>
    </xf>
    <xf numFmtId="20" fontId="24" fillId="0" borderId="3" xfId="1" applyNumberFormat="1" applyFont="1" applyBorder="1" applyAlignment="1">
      <alignment horizontal="left" vertical="center"/>
    </xf>
    <xf numFmtId="0" fontId="21" fillId="0" borderId="3" xfId="1" applyFont="1" applyBorder="1" applyAlignment="1">
      <alignment horizontal="center" vertical="center"/>
    </xf>
    <xf numFmtId="0" fontId="18" fillId="2" borderId="3" xfId="1" applyFont="1" applyFill="1" applyBorder="1" applyAlignment="1">
      <alignment horizontal="center"/>
    </xf>
    <xf numFmtId="0" fontId="18" fillId="2" borderId="3" xfId="0" applyFont="1" applyFill="1" applyBorder="1" applyAlignment="1">
      <alignment horizontal="center"/>
    </xf>
    <xf numFmtId="0" fontId="18" fillId="2" borderId="3" xfId="0" applyFont="1" applyFill="1" applyBorder="1" applyAlignment="1">
      <alignment horizontal="center" vertical="center"/>
    </xf>
    <xf numFmtId="1" fontId="36" fillId="2" borderId="35" xfId="1" quotePrefix="1" applyNumberFormat="1" applyFont="1" applyFill="1" applyBorder="1" applyAlignment="1">
      <alignment horizontal="center" vertical="center"/>
    </xf>
    <xf numFmtId="1" fontId="20" fillId="2" borderId="19" xfId="1" applyNumberFormat="1" applyFont="1" applyFill="1" applyBorder="1" applyAlignment="1">
      <alignment horizontal="center" vertical="center"/>
    </xf>
    <xf numFmtId="14" fontId="10" fillId="2" borderId="14" xfId="1" applyNumberFormat="1" applyFont="1" applyFill="1" applyBorder="1" applyAlignment="1">
      <alignment horizontal="center" vertical="center"/>
    </xf>
    <xf numFmtId="0" fontId="45" fillId="0" borderId="12" xfId="1" quotePrefix="1" applyFont="1" applyBorder="1" applyAlignment="1">
      <alignment horizontal="left" vertical="center"/>
    </xf>
    <xf numFmtId="0" fontId="45" fillId="0" borderId="10" xfId="1" quotePrefix="1" applyFont="1" applyBorder="1" applyAlignment="1">
      <alignment horizontal="left" vertical="center"/>
    </xf>
    <xf numFmtId="0" fontId="45" fillId="0" borderId="9" xfId="1" quotePrefix="1" applyFont="1" applyBorder="1" applyAlignment="1">
      <alignment horizontal="left" vertical="center"/>
    </xf>
    <xf numFmtId="0" fontId="11" fillId="3" borderId="14" xfId="1" applyFont="1" applyFill="1" applyBorder="1" applyAlignment="1">
      <alignment horizontal="center" vertical="center"/>
    </xf>
    <xf numFmtId="0" fontId="11" fillId="3" borderId="55" xfId="1" applyFont="1" applyFill="1" applyBorder="1" applyAlignment="1">
      <alignment horizontal="center" vertical="center"/>
    </xf>
    <xf numFmtId="0" fontId="11" fillId="3" borderId="12" xfId="1" applyFont="1" applyFill="1" applyBorder="1" applyAlignment="1">
      <alignment horizontal="center" vertical="center"/>
    </xf>
    <xf numFmtId="0" fontId="11" fillId="3" borderId="2" xfId="1" applyFont="1" applyFill="1" applyBorder="1" applyAlignment="1">
      <alignment horizontal="center" vertical="center"/>
    </xf>
    <xf numFmtId="0" fontId="9" fillId="3" borderId="12" xfId="1" applyFont="1" applyFill="1" applyBorder="1" applyAlignment="1">
      <alignment horizontal="center" vertical="center"/>
    </xf>
    <xf numFmtId="0" fontId="9" fillId="3" borderId="10" xfId="1" applyFont="1" applyFill="1" applyBorder="1" applyAlignment="1">
      <alignment horizontal="center" vertical="center"/>
    </xf>
    <xf numFmtId="0" fontId="9" fillId="3" borderId="9" xfId="1" applyFont="1" applyFill="1" applyBorder="1" applyAlignment="1">
      <alignment horizontal="center" vertical="center"/>
    </xf>
    <xf numFmtId="0" fontId="3" fillId="0" borderId="15" xfId="0" applyFont="1" applyBorder="1" applyAlignment="1" applyProtection="1">
      <alignment horizontal="left"/>
      <protection hidden="1"/>
    </xf>
    <xf numFmtId="0" fontId="3" fillId="0" borderId="2" xfId="0" applyFont="1" applyBorder="1" applyAlignment="1" applyProtection="1">
      <alignment horizontal="left"/>
      <protection hidden="1"/>
    </xf>
    <xf numFmtId="0" fontId="3" fillId="2" borderId="15" xfId="0" applyFont="1" applyFill="1" applyBorder="1" applyAlignment="1" applyProtection="1">
      <alignment horizontal="left"/>
      <protection hidden="1"/>
    </xf>
    <xf numFmtId="0" fontId="3" fillId="2" borderId="2" xfId="0" applyFont="1" applyFill="1" applyBorder="1" applyAlignment="1" applyProtection="1">
      <alignment horizontal="left"/>
      <protection hidden="1"/>
    </xf>
    <xf numFmtId="0" fontId="11" fillId="3" borderId="15" xfId="1" applyFont="1" applyFill="1" applyBorder="1" applyAlignment="1">
      <alignment horizontal="center" vertical="center"/>
    </xf>
    <xf numFmtId="0" fontId="11" fillId="3" borderId="10" xfId="1" applyFont="1" applyFill="1" applyBorder="1" applyAlignment="1">
      <alignment horizontal="center" vertical="center"/>
    </xf>
    <xf numFmtId="0" fontId="0" fillId="0" borderId="15" xfId="0" applyBorder="1" applyAlignment="1" applyProtection="1">
      <alignment horizontal="left"/>
      <protection hidden="1"/>
    </xf>
    <xf numFmtId="0" fontId="0" fillId="0" borderId="2" xfId="0" applyBorder="1" applyAlignment="1" applyProtection="1">
      <alignment horizontal="left"/>
      <protection hidden="1"/>
    </xf>
    <xf numFmtId="0" fontId="14" fillId="6" borderId="39" xfId="1" applyFont="1" applyFill="1" applyBorder="1" applyAlignment="1">
      <alignment horizontal="left" vertical="center" wrapText="1"/>
    </xf>
    <xf numFmtId="0" fontId="14" fillId="6" borderId="23" xfId="1" applyFont="1" applyFill="1" applyBorder="1" applyAlignment="1">
      <alignment horizontal="left" vertical="center" wrapText="1"/>
    </xf>
    <xf numFmtId="0" fontId="14" fillId="6" borderId="40" xfId="1" applyFont="1" applyFill="1" applyBorder="1" applyAlignment="1">
      <alignment horizontal="left" vertical="center" wrapText="1"/>
    </xf>
    <xf numFmtId="0" fontId="11" fillId="3" borderId="5" xfId="1" applyFont="1" applyFill="1" applyBorder="1" applyAlignment="1">
      <alignment horizontal="center" vertical="center"/>
    </xf>
    <xf numFmtId="0" fontId="11" fillId="3" borderId="23" xfId="1" applyFont="1" applyFill="1" applyBorder="1" applyAlignment="1">
      <alignment horizontal="center" vertical="center"/>
    </xf>
    <xf numFmtId="0" fontId="11" fillId="3" borderId="14" xfId="1" applyFont="1" applyFill="1" applyBorder="1" applyAlignment="1">
      <alignment horizontal="center" vertical="center" wrapText="1"/>
    </xf>
    <xf numFmtId="0" fontId="11" fillId="3" borderId="24" xfId="1" applyFont="1" applyFill="1" applyBorder="1" applyAlignment="1">
      <alignment horizontal="center" vertical="center" wrapText="1"/>
    </xf>
    <xf numFmtId="0" fontId="11" fillId="3" borderId="24" xfId="1" applyFont="1" applyFill="1" applyBorder="1" applyAlignment="1">
      <alignment horizontal="center" vertical="center"/>
    </xf>
    <xf numFmtId="0" fontId="15" fillId="6" borderId="7" xfId="1" applyFont="1" applyFill="1" applyBorder="1" applyAlignment="1">
      <alignment horizontal="left" vertical="center"/>
    </xf>
    <xf numFmtId="0" fontId="15" fillId="6" borderId="13" xfId="1" applyFont="1" applyFill="1" applyBorder="1" applyAlignment="1">
      <alignment horizontal="left" vertical="center"/>
    </xf>
    <xf numFmtId="0" fontId="15" fillId="6" borderId="8" xfId="1" applyFont="1" applyFill="1" applyBorder="1" applyAlignment="1">
      <alignment horizontal="left" vertical="center"/>
    </xf>
    <xf numFmtId="0" fontId="15" fillId="6" borderId="39" xfId="1" applyFont="1" applyFill="1" applyBorder="1" applyAlignment="1">
      <alignment horizontal="left" vertical="center"/>
    </xf>
    <xf numFmtId="0" fontId="15" fillId="6" borderId="23" xfId="1" applyFont="1" applyFill="1" applyBorder="1" applyAlignment="1">
      <alignment horizontal="left" vertical="center"/>
    </xf>
    <xf numFmtId="0" fontId="15" fillId="6" borderId="40" xfId="1" applyFont="1" applyFill="1" applyBorder="1" applyAlignment="1">
      <alignment horizontal="left" vertical="center"/>
    </xf>
    <xf numFmtId="0" fontId="2" fillId="0" borderId="15" xfId="0" applyFont="1" applyBorder="1" applyAlignment="1" applyProtection="1">
      <alignment horizontal="left"/>
      <protection hidden="1"/>
    </xf>
    <xf numFmtId="0" fontId="1" fillId="0" borderId="15" xfId="0" applyFont="1" applyBorder="1" applyAlignment="1" applyProtection="1">
      <alignment horizontal="left"/>
      <protection hidden="1"/>
    </xf>
    <xf numFmtId="0" fontId="17" fillId="7" borderId="44" xfId="1" applyFont="1" applyFill="1" applyBorder="1" applyAlignment="1">
      <alignment horizontal="center" vertical="center" wrapText="1"/>
    </xf>
    <xf numFmtId="0" fontId="17" fillId="7" borderId="45" xfId="1" applyFont="1" applyFill="1" applyBorder="1" applyAlignment="1">
      <alignment horizontal="center" vertical="center" wrapText="1"/>
    </xf>
    <xf numFmtId="0" fontId="17" fillId="7" borderId="46" xfId="1" applyFont="1" applyFill="1" applyBorder="1" applyAlignment="1">
      <alignment horizontal="center" vertical="center" wrapText="1"/>
    </xf>
    <xf numFmtId="0" fontId="14" fillId="6" borderId="47" xfId="1" applyFont="1" applyFill="1" applyBorder="1" applyAlignment="1">
      <alignment vertical="center" wrapText="1"/>
    </xf>
    <xf numFmtId="0" fontId="14" fillId="6" borderId="48" xfId="1" applyFont="1" applyFill="1" applyBorder="1" applyAlignment="1">
      <alignment vertical="center" wrapText="1"/>
    </xf>
    <xf numFmtId="0" fontId="14" fillId="6" borderId="49" xfId="1" applyFont="1" applyFill="1" applyBorder="1" applyAlignment="1">
      <alignment vertical="center" wrapText="1"/>
    </xf>
    <xf numFmtId="2" fontId="19" fillId="2" borderId="50" xfId="0" applyNumberFormat="1" applyFont="1" applyFill="1" applyBorder="1" applyAlignment="1">
      <alignment horizontal="center" vertical="center" wrapText="1"/>
    </xf>
    <xf numFmtId="2" fontId="19" fillId="2" borderId="48" xfId="0" applyNumberFormat="1" applyFont="1" applyFill="1" applyBorder="1" applyAlignment="1">
      <alignment horizontal="center" vertical="center" wrapText="1"/>
    </xf>
    <xf numFmtId="2" fontId="19" fillId="2" borderId="51" xfId="0" applyNumberFormat="1" applyFont="1" applyFill="1" applyBorder="1" applyAlignment="1">
      <alignment horizontal="center" vertical="center" wrapText="1"/>
    </xf>
    <xf numFmtId="0" fontId="14" fillId="6" borderId="15" xfId="1" applyFont="1" applyFill="1" applyBorder="1" applyAlignment="1">
      <alignment horizontal="left" vertical="center" wrapText="1"/>
    </xf>
    <xf numFmtId="0" fontId="14" fillId="6" borderId="10" xfId="1" applyFont="1" applyFill="1" applyBorder="1" applyAlignment="1">
      <alignment horizontal="left" vertical="center" wrapText="1"/>
    </xf>
    <xf numFmtId="0" fontId="14" fillId="6" borderId="9" xfId="1" applyFont="1" applyFill="1" applyBorder="1" applyAlignment="1">
      <alignment horizontal="left" vertical="center" wrapText="1"/>
    </xf>
    <xf numFmtId="2" fontId="22" fillId="2" borderId="41" xfId="1" applyNumberFormat="1" applyFont="1" applyFill="1" applyBorder="1" applyAlignment="1">
      <alignment horizontal="center" vertical="center" wrapText="1"/>
    </xf>
    <xf numFmtId="2" fontId="22" fillId="2" borderId="42" xfId="1" applyNumberFormat="1" applyFont="1" applyFill="1" applyBorder="1" applyAlignment="1">
      <alignment horizontal="center" vertical="center" wrapText="1"/>
    </xf>
    <xf numFmtId="2" fontId="22" fillId="2" borderId="43" xfId="1" applyNumberFormat="1" applyFont="1" applyFill="1" applyBorder="1" applyAlignment="1">
      <alignment horizontal="center" vertical="center" wrapText="1"/>
    </xf>
    <xf numFmtId="0" fontId="21" fillId="0" borderId="15" xfId="1" applyFont="1" applyBorder="1" applyAlignment="1">
      <alignment horizontal="left" vertical="center"/>
    </xf>
    <xf numFmtId="0" fontId="21" fillId="0" borderId="10" xfId="1" applyFont="1" applyBorder="1" applyAlignment="1">
      <alignment horizontal="left" vertical="center"/>
    </xf>
    <xf numFmtId="0" fontId="21" fillId="0" borderId="9" xfId="1" applyFont="1" applyBorder="1" applyAlignment="1">
      <alignment horizontal="left" vertical="center"/>
    </xf>
    <xf numFmtId="0" fontId="35" fillId="0" borderId="12" xfId="0" applyFont="1" applyBorder="1" applyAlignment="1">
      <alignment horizontal="center"/>
    </xf>
    <xf numFmtId="0" fontId="35" fillId="0" borderId="2" xfId="0" applyFont="1" applyBorder="1" applyAlignment="1">
      <alignment horizontal="center"/>
    </xf>
    <xf numFmtId="0" fontId="35" fillId="0" borderId="10" xfId="0" applyFont="1" applyBorder="1" applyAlignment="1">
      <alignment horizontal="center"/>
    </xf>
    <xf numFmtId="0" fontId="35" fillId="11" borderId="12" xfId="0" applyFont="1" applyFill="1" applyBorder="1" applyAlignment="1">
      <alignment horizontal="center"/>
    </xf>
    <xf numFmtId="0" fontId="35" fillId="11" borderId="10" xfId="0" applyFont="1" applyFill="1" applyBorder="1" applyAlignment="1">
      <alignment horizontal="center"/>
    </xf>
    <xf numFmtId="0" fontId="35" fillId="0" borderId="22" xfId="0" applyFont="1" applyBorder="1" applyAlignment="1">
      <alignment horizontal="center"/>
    </xf>
    <xf numFmtId="0" fontId="35" fillId="0" borderId="16" xfId="0" applyFont="1" applyBorder="1" applyAlignment="1">
      <alignment horizontal="center"/>
    </xf>
    <xf numFmtId="0" fontId="35" fillId="0" borderId="12" xfId="0" applyFont="1" applyBorder="1" applyAlignment="1">
      <alignment horizontal="left"/>
    </xf>
    <xf numFmtId="0" fontId="35" fillId="0" borderId="10" xfId="0" applyFont="1" applyBorder="1" applyAlignment="1">
      <alignment horizontal="left"/>
    </xf>
    <xf numFmtId="0" fontId="35" fillId="0" borderId="2" xfId="0" applyFont="1" applyBorder="1" applyAlignment="1">
      <alignment horizontal="left"/>
    </xf>
    <xf numFmtId="0" fontId="35" fillId="0" borderId="0" xfId="0" applyFont="1" applyAlignment="1">
      <alignment horizontal="center"/>
    </xf>
    <xf numFmtId="0" fontId="0" fillId="10" borderId="3" xfId="0" applyFill="1" applyBorder="1" applyAlignment="1">
      <alignment horizontal="left" vertical="center"/>
    </xf>
    <xf numFmtId="0" fontId="33" fillId="10" borderId="0" xfId="0" applyFont="1" applyFill="1" applyAlignment="1">
      <alignment horizontal="center" vertical="center"/>
    </xf>
    <xf numFmtId="0" fontId="30" fillId="10" borderId="0" xfId="0" applyFont="1" applyFill="1" applyAlignment="1">
      <alignment horizontal="center"/>
    </xf>
    <xf numFmtId="0" fontId="31" fillId="10" borderId="26" xfId="0" applyFont="1" applyFill="1" applyBorder="1" applyAlignment="1">
      <alignment horizontal="center" vertical="center"/>
    </xf>
    <xf numFmtId="0" fontId="28" fillId="10" borderId="53" xfId="0" applyFont="1" applyFill="1" applyBorder="1" applyAlignment="1">
      <alignment horizontal="left" vertical="center"/>
    </xf>
    <xf numFmtId="0" fontId="28" fillId="10" borderId="3" xfId="0" applyFont="1" applyFill="1" applyBorder="1" applyAlignment="1">
      <alignment horizontal="left" vertical="center"/>
    </xf>
    <xf numFmtId="0" fontId="0" fillId="10" borderId="21" xfId="0" applyFill="1" applyBorder="1" applyAlignment="1">
      <alignment horizontal="left"/>
    </xf>
    <xf numFmtId="0" fontId="0" fillId="10" borderId="12" xfId="0" applyFill="1" applyBorder="1" applyAlignment="1">
      <alignment horizontal="left" vertical="center"/>
    </xf>
    <xf numFmtId="0" fontId="0" fillId="10" borderId="2" xfId="0" applyFill="1" applyBorder="1" applyAlignment="1">
      <alignment horizontal="left" vertical="center"/>
    </xf>
    <xf numFmtId="0" fontId="0" fillId="10" borderId="3" xfId="0" applyFill="1" applyBorder="1" applyAlignment="1">
      <alignment horizontal="left"/>
    </xf>
  </cellXfs>
  <cellStyles count="4">
    <cellStyle name="Normal" xfId="0" builtinId="0"/>
    <cellStyle name="Normal 3" xfId="3" xr:uid="{00000000-0005-0000-0000-000001000000}"/>
    <cellStyle name="Обычный 2" xfId="1" xr:uid="{00000000-0005-0000-0000-000002000000}"/>
    <cellStyle name="Обычный 2 2" xfId="2" xr:uid="{00000000-0005-0000-0000-000003000000}"/>
  </cellStyles>
  <dxfs count="0"/>
  <tableStyles count="0" defaultTableStyle="TableStyleMedium9" defaultPivotStyle="PivotStyleLight16"/>
  <colors>
    <mruColors>
      <color rgb="FFFFFFCC"/>
      <color rgb="FF00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57150</xdr:rowOff>
    </xdr:from>
    <xdr:to>
      <xdr:col>0</xdr:col>
      <xdr:colOff>713961</xdr:colOff>
      <xdr:row>0</xdr:row>
      <xdr:rowOff>1055618</xdr:rowOff>
    </xdr:to>
    <xdr:pic>
      <xdr:nvPicPr>
        <xdr:cNvPr id="2" name="Εικόνα 2">
          <a:extLst>
            <a:ext uri="{FF2B5EF4-FFF2-40B4-BE49-F238E27FC236}">
              <a16:creationId xmlns:a16="http://schemas.microsoft.com/office/drawing/2014/main" id="{87988F35-43EF-4667-B36C-1B0F44FEBC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57150"/>
          <a:ext cx="656811" cy="9984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CFF55-BD0D-4642-81DF-39A2EC005817}">
  <sheetPr>
    <pageSetUpPr fitToPage="1"/>
  </sheetPr>
  <dimension ref="A1:L90"/>
  <sheetViews>
    <sheetView tabSelected="1" view="pageBreakPreview" topLeftCell="A50" zoomScale="115" zoomScaleNormal="100" zoomScaleSheetLayoutView="115" workbookViewId="0">
      <selection activeCell="B81" sqref="B81"/>
    </sheetView>
  </sheetViews>
  <sheetFormatPr defaultColWidth="9.140625" defaultRowHeight="12.75" x14ac:dyDescent="0.25"/>
  <cols>
    <col min="1" max="1" width="26.7109375" style="1" customWidth="1"/>
    <col min="2" max="5" width="21.42578125" style="1" customWidth="1"/>
    <col min="6" max="6" width="24.42578125" style="1" customWidth="1"/>
    <col min="7" max="7" width="21.42578125" style="1" customWidth="1"/>
    <col min="8" max="8" width="27" style="1" customWidth="1"/>
    <col min="9" max="10" width="9.140625" style="1"/>
    <col min="11" max="11" width="11.42578125" style="1" customWidth="1"/>
    <col min="12" max="16384" width="9.140625" style="1"/>
  </cols>
  <sheetData>
    <row r="1" spans="1:9" ht="86.25" customHeight="1" thickBot="1" x14ac:dyDescent="0.3">
      <c r="A1" s="176" t="s">
        <v>7</v>
      </c>
      <c r="B1" s="177"/>
      <c r="C1" s="177"/>
      <c r="D1" s="177"/>
      <c r="E1" s="177"/>
      <c r="F1" s="177"/>
      <c r="G1" s="177"/>
      <c r="H1" s="178"/>
      <c r="I1" s="1" t="s">
        <v>45</v>
      </c>
    </row>
    <row r="2" spans="1:9" ht="27" customHeight="1" x14ac:dyDescent="0.25">
      <c r="A2" s="179" t="s">
        <v>1</v>
      </c>
      <c r="B2" s="180"/>
      <c r="C2" s="181"/>
      <c r="D2" s="182" t="s">
        <v>204</v>
      </c>
      <c r="E2" s="183"/>
      <c r="F2" s="184"/>
      <c r="G2" s="16" t="s">
        <v>0</v>
      </c>
      <c r="H2" s="25" t="s">
        <v>94</v>
      </c>
    </row>
    <row r="3" spans="1:9" ht="27" customHeight="1" x14ac:dyDescent="0.25">
      <c r="A3" s="47" t="s">
        <v>43</v>
      </c>
      <c r="B3" s="24" t="s">
        <v>230</v>
      </c>
      <c r="C3" s="8" t="s">
        <v>206</v>
      </c>
      <c r="D3" s="24" t="s">
        <v>237</v>
      </c>
      <c r="E3" s="8" t="s">
        <v>38</v>
      </c>
      <c r="F3" s="84">
        <v>23</v>
      </c>
      <c r="G3" s="17" t="s">
        <v>2</v>
      </c>
      <c r="H3" s="24" t="s">
        <v>231</v>
      </c>
    </row>
    <row r="4" spans="1:9" ht="27" customHeight="1" x14ac:dyDescent="0.25">
      <c r="A4" s="48" t="s">
        <v>44</v>
      </c>
      <c r="B4" s="24" t="s">
        <v>236</v>
      </c>
      <c r="C4" s="43" t="s">
        <v>124</v>
      </c>
      <c r="D4" s="24" t="s">
        <v>205</v>
      </c>
      <c r="E4" s="43" t="s">
        <v>186</v>
      </c>
      <c r="F4" s="84" t="s">
        <v>208</v>
      </c>
      <c r="G4" s="17" t="s">
        <v>78</v>
      </c>
      <c r="H4" s="139" t="s">
        <v>214</v>
      </c>
    </row>
    <row r="5" spans="1:9" ht="27" customHeight="1" x14ac:dyDescent="0.25">
      <c r="A5" s="185" t="s">
        <v>37</v>
      </c>
      <c r="B5" s="186"/>
      <c r="C5" s="186"/>
      <c r="D5" s="186"/>
      <c r="E5" s="186"/>
      <c r="F5" s="186"/>
      <c r="G5" s="186"/>
      <c r="H5" s="187"/>
    </row>
    <row r="6" spans="1:9" ht="27" customHeight="1" x14ac:dyDescent="0.25">
      <c r="A6" s="44" t="s">
        <v>35</v>
      </c>
      <c r="B6" s="45" t="s">
        <v>190</v>
      </c>
      <c r="C6" s="45" t="s">
        <v>189</v>
      </c>
      <c r="D6" s="45" t="s">
        <v>188</v>
      </c>
      <c r="E6" s="45" t="s">
        <v>187</v>
      </c>
      <c r="F6" s="45" t="s">
        <v>191</v>
      </c>
      <c r="G6" s="45" t="s">
        <v>36</v>
      </c>
      <c r="H6" s="46" t="s">
        <v>34</v>
      </c>
    </row>
    <row r="7" spans="1:9" ht="27" customHeight="1" x14ac:dyDescent="0.25">
      <c r="A7" s="88"/>
      <c r="B7" s="114"/>
      <c r="C7" s="114"/>
      <c r="D7" s="115"/>
      <c r="E7" s="114"/>
      <c r="F7" s="115"/>
      <c r="G7" s="114"/>
      <c r="H7" s="124"/>
    </row>
    <row r="8" spans="1:9" ht="27" customHeight="1" x14ac:dyDescent="0.25">
      <c r="A8" s="160" t="s">
        <v>207</v>
      </c>
      <c r="B8" s="161"/>
      <c r="C8" s="161"/>
      <c r="D8" s="161"/>
      <c r="E8" s="161"/>
      <c r="F8" s="161"/>
      <c r="G8" s="161"/>
      <c r="H8" s="162"/>
    </row>
    <row r="9" spans="1:9" ht="27" customHeight="1" thickBot="1" x14ac:dyDescent="0.3">
      <c r="A9" s="15" t="s">
        <v>70</v>
      </c>
      <c r="B9" s="15" t="s">
        <v>71</v>
      </c>
      <c r="C9" s="15" t="s">
        <v>72</v>
      </c>
      <c r="D9" s="15" t="s">
        <v>73</v>
      </c>
      <c r="E9" s="15" t="s">
        <v>74</v>
      </c>
      <c r="F9" s="15" t="s">
        <v>75</v>
      </c>
      <c r="G9" s="15" t="s">
        <v>76</v>
      </c>
      <c r="H9" s="49" t="s">
        <v>77</v>
      </c>
    </row>
    <row r="10" spans="1:9" ht="27" customHeight="1" x14ac:dyDescent="0.25">
      <c r="A10" s="127">
        <v>10</v>
      </c>
      <c r="B10" s="113">
        <v>0</v>
      </c>
      <c r="C10" s="113">
        <v>0</v>
      </c>
      <c r="D10" s="128">
        <v>14</v>
      </c>
      <c r="E10" s="113">
        <v>0</v>
      </c>
      <c r="F10" s="113">
        <v>0</v>
      </c>
      <c r="G10" s="113">
        <v>0</v>
      </c>
      <c r="H10" s="140">
        <f>G10+F10+E10+D10+C10+B10+A10</f>
        <v>24</v>
      </c>
    </row>
    <row r="11" spans="1:9" ht="27" customHeight="1" x14ac:dyDescent="0.25">
      <c r="A11" s="160" t="s">
        <v>203</v>
      </c>
      <c r="B11" s="161"/>
      <c r="C11" s="161"/>
      <c r="D11" s="161"/>
      <c r="E11" s="161"/>
      <c r="F11" s="161"/>
      <c r="G11" s="161"/>
      <c r="H11" s="162"/>
    </row>
    <row r="12" spans="1:9" ht="27" customHeight="1" thickBot="1" x14ac:dyDescent="0.3">
      <c r="A12" s="15" t="s">
        <v>70</v>
      </c>
      <c r="B12" s="15" t="s">
        <v>71</v>
      </c>
      <c r="C12" s="15" t="s">
        <v>72</v>
      </c>
      <c r="D12" s="15" t="s">
        <v>73</v>
      </c>
      <c r="E12" s="15" t="s">
        <v>74</v>
      </c>
      <c r="F12" s="15" t="s">
        <v>75</v>
      </c>
      <c r="G12" s="15" t="s">
        <v>76</v>
      </c>
      <c r="H12" s="49" t="s">
        <v>79</v>
      </c>
    </row>
    <row r="13" spans="1:9" ht="27" customHeight="1" x14ac:dyDescent="0.25">
      <c r="A13" s="86">
        <v>0</v>
      </c>
      <c r="B13" s="87">
        <v>0</v>
      </c>
      <c r="C13" s="87">
        <v>0</v>
      </c>
      <c r="D13" s="128">
        <v>14</v>
      </c>
      <c r="E13" s="87">
        <v>0</v>
      </c>
      <c r="F13" s="87">
        <v>0</v>
      </c>
      <c r="G13" s="87">
        <v>0</v>
      </c>
      <c r="H13" s="140">
        <f>G13+F13+E13+D13+C13+B13+A13</f>
        <v>14</v>
      </c>
    </row>
    <row r="14" spans="1:9" ht="18.75" x14ac:dyDescent="0.25">
      <c r="A14" s="171" t="s">
        <v>22</v>
      </c>
      <c r="B14" s="172"/>
      <c r="C14" s="172"/>
      <c r="D14" s="172"/>
      <c r="E14" s="172"/>
      <c r="F14" s="172"/>
      <c r="G14" s="172"/>
      <c r="H14" s="173"/>
    </row>
    <row r="15" spans="1:9" s="3" customFormat="1" ht="18" customHeight="1" x14ac:dyDescent="0.25">
      <c r="A15" s="52" t="s">
        <v>11</v>
      </c>
      <c r="B15" s="9" t="s">
        <v>13</v>
      </c>
      <c r="C15" s="9" t="s">
        <v>12</v>
      </c>
      <c r="D15" s="9" t="s">
        <v>26</v>
      </c>
      <c r="E15" s="9" t="s">
        <v>16</v>
      </c>
      <c r="F15" s="9" t="s">
        <v>17</v>
      </c>
      <c r="G15" s="9" t="s">
        <v>15</v>
      </c>
      <c r="H15" s="53" t="s">
        <v>14</v>
      </c>
    </row>
    <row r="16" spans="1:9" s="2" customFormat="1" ht="15" customHeight="1" x14ac:dyDescent="0.25">
      <c r="A16" s="54" t="s">
        <v>50</v>
      </c>
      <c r="B16" s="6" t="s">
        <v>27</v>
      </c>
      <c r="C16" s="81">
        <v>276.30000000000007</v>
      </c>
      <c r="D16" s="94" t="s">
        <v>238</v>
      </c>
      <c r="E16" s="81" t="s">
        <v>80</v>
      </c>
      <c r="F16" s="94" t="s">
        <v>80</v>
      </c>
      <c r="G16" s="82">
        <f>C16-D16+E16-F16</f>
        <v>258.80000000000007</v>
      </c>
      <c r="H16" s="101"/>
    </row>
    <row r="17" spans="1:8" s="2" customFormat="1" ht="15" customHeight="1" x14ac:dyDescent="0.25">
      <c r="A17" s="54" t="s">
        <v>47</v>
      </c>
      <c r="B17" s="4" t="s">
        <v>21</v>
      </c>
      <c r="C17" s="81">
        <v>3000</v>
      </c>
      <c r="D17" s="81" t="s">
        <v>80</v>
      </c>
      <c r="E17" s="81" t="s">
        <v>80</v>
      </c>
      <c r="F17" s="81" t="s">
        <v>80</v>
      </c>
      <c r="G17" s="82">
        <f>C17-D17+E17-F17</f>
        <v>3000</v>
      </c>
      <c r="H17" s="55" t="s">
        <v>213</v>
      </c>
    </row>
    <row r="18" spans="1:8" s="2" customFormat="1" ht="15" customHeight="1" x14ac:dyDescent="0.25">
      <c r="A18" s="54" t="s">
        <v>48</v>
      </c>
      <c r="B18" s="4" t="s">
        <v>21</v>
      </c>
      <c r="C18" s="81">
        <v>0</v>
      </c>
      <c r="D18" s="81" t="s">
        <v>80</v>
      </c>
      <c r="E18" s="81" t="s">
        <v>80</v>
      </c>
      <c r="F18" s="81" t="s">
        <v>80</v>
      </c>
      <c r="G18" s="82">
        <f t="shared" ref="G18:G30" si="0">C18-D18+E18-F18</f>
        <v>0</v>
      </c>
      <c r="H18" s="55"/>
    </row>
    <row r="19" spans="1:8" s="2" customFormat="1" ht="15" customHeight="1" x14ac:dyDescent="0.25">
      <c r="A19" s="54" t="s">
        <v>49</v>
      </c>
      <c r="B19" s="4" t="s">
        <v>21</v>
      </c>
      <c r="C19" s="81">
        <v>200</v>
      </c>
      <c r="D19" s="81" t="s">
        <v>80</v>
      </c>
      <c r="E19" s="81" t="s">
        <v>80</v>
      </c>
      <c r="F19" s="81" t="s">
        <v>80</v>
      </c>
      <c r="G19" s="82">
        <f t="shared" si="0"/>
        <v>200</v>
      </c>
      <c r="H19" s="55" t="s">
        <v>123</v>
      </c>
    </row>
    <row r="20" spans="1:8" s="2" customFormat="1" ht="15" customHeight="1" x14ac:dyDescent="0.25">
      <c r="A20" s="54" t="s">
        <v>126</v>
      </c>
      <c r="B20" s="4" t="s">
        <v>21</v>
      </c>
      <c r="C20" s="81">
        <v>500</v>
      </c>
      <c r="D20" s="81" t="s">
        <v>80</v>
      </c>
      <c r="E20" s="81" t="s">
        <v>80</v>
      </c>
      <c r="F20" s="81" t="s">
        <v>80</v>
      </c>
      <c r="G20" s="82">
        <f>C20-D20+E20-F20</f>
        <v>500</v>
      </c>
      <c r="H20" s="55" t="s">
        <v>201</v>
      </c>
    </row>
    <row r="21" spans="1:8" s="2" customFormat="1" ht="15" customHeight="1" x14ac:dyDescent="0.25">
      <c r="A21" s="54" t="s">
        <v>46</v>
      </c>
      <c r="B21" s="6" t="s">
        <v>27</v>
      </c>
      <c r="C21" s="81">
        <v>459.99999999999994</v>
      </c>
      <c r="D21" s="94" t="s">
        <v>217</v>
      </c>
      <c r="E21" s="94" t="s">
        <v>80</v>
      </c>
      <c r="F21" s="94" t="s">
        <v>239</v>
      </c>
      <c r="G21" s="82">
        <f>C21-D21+E21-F21</f>
        <v>430.99999999999994</v>
      </c>
      <c r="H21" s="55"/>
    </row>
    <row r="22" spans="1:8" s="2" customFormat="1" ht="15" customHeight="1" x14ac:dyDescent="0.25">
      <c r="A22" s="54" t="s">
        <v>51</v>
      </c>
      <c r="B22" s="6" t="s">
        <v>27</v>
      </c>
      <c r="C22" s="81">
        <v>0</v>
      </c>
      <c r="D22" s="81" t="s">
        <v>80</v>
      </c>
      <c r="E22" s="81" t="s">
        <v>80</v>
      </c>
      <c r="F22" s="81" t="s">
        <v>80</v>
      </c>
      <c r="G22" s="82">
        <f t="shared" si="0"/>
        <v>0</v>
      </c>
      <c r="H22" s="56"/>
    </row>
    <row r="23" spans="1:8" s="2" customFormat="1" ht="15" customHeight="1" x14ac:dyDescent="0.25">
      <c r="A23" s="54" t="s">
        <v>52</v>
      </c>
      <c r="B23" s="6" t="s">
        <v>27</v>
      </c>
      <c r="C23" s="81">
        <v>0</v>
      </c>
      <c r="D23" s="81" t="s">
        <v>80</v>
      </c>
      <c r="E23" s="81" t="s">
        <v>80</v>
      </c>
      <c r="F23" s="81" t="s">
        <v>80</v>
      </c>
      <c r="G23" s="82">
        <f t="shared" si="0"/>
        <v>0</v>
      </c>
      <c r="H23" s="56" t="s">
        <v>218</v>
      </c>
    </row>
    <row r="24" spans="1:8" s="2" customFormat="1" ht="15" customHeight="1" x14ac:dyDescent="0.25">
      <c r="A24" s="54" t="s">
        <v>53</v>
      </c>
      <c r="B24" s="6" t="s">
        <v>58</v>
      </c>
      <c r="C24" s="81">
        <v>0</v>
      </c>
      <c r="D24" s="81" t="s">
        <v>80</v>
      </c>
      <c r="E24" s="81" t="s">
        <v>80</v>
      </c>
      <c r="F24" s="81" t="s">
        <v>80</v>
      </c>
      <c r="G24" s="82">
        <f>C24-D24+E24-F24</f>
        <v>0</v>
      </c>
      <c r="H24" s="56"/>
    </row>
    <row r="25" spans="1:8" s="2" customFormat="1" ht="15" customHeight="1" x14ac:dyDescent="0.25">
      <c r="A25" s="54" t="s">
        <v>54</v>
      </c>
      <c r="B25" s="4" t="s">
        <v>58</v>
      </c>
      <c r="C25" s="81">
        <v>0</v>
      </c>
      <c r="D25" s="81" t="s">
        <v>80</v>
      </c>
      <c r="E25" s="81" t="s">
        <v>80</v>
      </c>
      <c r="F25" s="81" t="s">
        <v>80</v>
      </c>
      <c r="G25" s="82">
        <f t="shared" si="0"/>
        <v>0</v>
      </c>
      <c r="H25" s="56"/>
    </row>
    <row r="26" spans="1:8" s="2" customFormat="1" ht="15" customHeight="1" x14ac:dyDescent="0.25">
      <c r="A26" s="54" t="s">
        <v>55</v>
      </c>
      <c r="B26" s="4" t="s">
        <v>58</v>
      </c>
      <c r="C26" s="81">
        <v>0</v>
      </c>
      <c r="D26" s="81" t="s">
        <v>80</v>
      </c>
      <c r="E26" s="81" t="s">
        <v>80</v>
      </c>
      <c r="F26" s="81" t="s">
        <v>80</v>
      </c>
      <c r="G26" s="82">
        <f t="shared" si="0"/>
        <v>0</v>
      </c>
      <c r="H26" s="56"/>
    </row>
    <row r="27" spans="1:8" s="2" customFormat="1" ht="15" customHeight="1" x14ac:dyDescent="0.25">
      <c r="A27" s="54" t="s">
        <v>202</v>
      </c>
      <c r="B27" s="6" t="s">
        <v>27</v>
      </c>
      <c r="C27" s="81">
        <v>2</v>
      </c>
      <c r="D27" s="81" t="s">
        <v>80</v>
      </c>
      <c r="E27" s="81" t="s">
        <v>80</v>
      </c>
      <c r="F27" s="81" t="s">
        <v>80</v>
      </c>
      <c r="G27" s="82">
        <f t="shared" si="0"/>
        <v>2</v>
      </c>
      <c r="H27" s="56"/>
    </row>
    <row r="28" spans="1:8" s="2" customFormat="1" ht="15" customHeight="1" x14ac:dyDescent="0.25">
      <c r="A28" s="54" t="s">
        <v>56</v>
      </c>
      <c r="B28" s="6" t="s">
        <v>27</v>
      </c>
      <c r="C28" s="81">
        <v>5</v>
      </c>
      <c r="D28" s="81" t="s">
        <v>80</v>
      </c>
      <c r="E28" s="81" t="s">
        <v>80</v>
      </c>
      <c r="F28" s="81" t="s">
        <v>80</v>
      </c>
      <c r="G28" s="82">
        <f t="shared" si="0"/>
        <v>5</v>
      </c>
      <c r="H28" s="56"/>
    </row>
    <row r="29" spans="1:8" s="2" customFormat="1" ht="15" customHeight="1" x14ac:dyDescent="0.25">
      <c r="A29" s="54" t="s">
        <v>57</v>
      </c>
      <c r="B29" s="6" t="s">
        <v>27</v>
      </c>
      <c r="C29" s="81">
        <v>2</v>
      </c>
      <c r="D29" s="81" t="s">
        <v>80</v>
      </c>
      <c r="E29" s="81" t="s">
        <v>80</v>
      </c>
      <c r="F29" s="81" t="s">
        <v>80</v>
      </c>
      <c r="G29" s="82">
        <f t="shared" si="0"/>
        <v>2</v>
      </c>
      <c r="H29" s="56"/>
    </row>
    <row r="30" spans="1:8" s="2" customFormat="1" ht="15" customHeight="1" thickBot="1" x14ac:dyDescent="0.3">
      <c r="A30" s="54" t="s">
        <v>25</v>
      </c>
      <c r="B30" s="6" t="s">
        <v>27</v>
      </c>
      <c r="C30" s="81">
        <v>0</v>
      </c>
      <c r="D30" s="81" t="s">
        <v>80</v>
      </c>
      <c r="E30" s="81" t="s">
        <v>80</v>
      </c>
      <c r="F30" s="81" t="s">
        <v>80</v>
      </c>
      <c r="G30" s="82">
        <f t="shared" si="0"/>
        <v>0</v>
      </c>
      <c r="H30" s="56"/>
    </row>
    <row r="31" spans="1:8" ht="18.75" x14ac:dyDescent="0.25">
      <c r="A31" s="168" t="s">
        <v>28</v>
      </c>
      <c r="B31" s="169"/>
      <c r="C31" s="169"/>
      <c r="D31" s="169"/>
      <c r="E31" s="169"/>
      <c r="F31" s="169"/>
      <c r="G31" s="169"/>
      <c r="H31" s="170"/>
    </row>
    <row r="32" spans="1:8" ht="19.5" customHeight="1" x14ac:dyDescent="0.25">
      <c r="A32" s="57" t="s">
        <v>32</v>
      </c>
      <c r="B32" s="13" t="s">
        <v>42</v>
      </c>
      <c r="C32" s="7" t="s">
        <v>19</v>
      </c>
      <c r="D32" s="7" t="s">
        <v>30</v>
      </c>
      <c r="E32" s="14" t="s">
        <v>41</v>
      </c>
      <c r="F32" s="58"/>
      <c r="G32" s="58"/>
      <c r="H32" s="59"/>
    </row>
    <row r="33" spans="1:12" ht="19.5" customHeight="1" x14ac:dyDescent="0.25">
      <c r="A33" s="60" t="s">
        <v>29</v>
      </c>
      <c r="B33" s="123">
        <v>15</v>
      </c>
      <c r="C33" s="123">
        <v>0</v>
      </c>
      <c r="D33" s="123">
        <v>0</v>
      </c>
      <c r="E33" s="26">
        <f>B33+C33-D33</f>
        <v>15</v>
      </c>
      <c r="F33" s="58"/>
      <c r="G33" s="58"/>
      <c r="H33" s="59"/>
    </row>
    <row r="34" spans="1:12" ht="19.5" customHeight="1" x14ac:dyDescent="0.25">
      <c r="A34" s="60" t="s">
        <v>23</v>
      </c>
      <c r="B34" s="123">
        <v>5</v>
      </c>
      <c r="C34" s="135">
        <v>0</v>
      </c>
      <c r="D34" s="135">
        <v>5</v>
      </c>
      <c r="E34" s="26">
        <v>0</v>
      </c>
      <c r="F34" s="58"/>
      <c r="G34" s="58"/>
      <c r="H34" s="59"/>
    </row>
    <row r="35" spans="1:12" ht="19.5" customHeight="1" x14ac:dyDescent="0.25">
      <c r="A35" s="60" t="s">
        <v>31</v>
      </c>
      <c r="B35" s="123">
        <v>0</v>
      </c>
      <c r="C35" s="123">
        <v>0</v>
      </c>
      <c r="D35" s="123">
        <v>0</v>
      </c>
      <c r="E35" s="26">
        <f>B35+C35-D35</f>
        <v>0</v>
      </c>
      <c r="F35" s="58"/>
      <c r="G35" s="58"/>
      <c r="H35" s="59"/>
    </row>
    <row r="36" spans="1:12" ht="19.5" customHeight="1" thickBot="1" x14ac:dyDescent="0.3">
      <c r="A36" s="61" t="s">
        <v>33</v>
      </c>
      <c r="B36" s="10">
        <v>20</v>
      </c>
      <c r="C36" s="10">
        <v>0</v>
      </c>
      <c r="D36" s="10">
        <v>5</v>
      </c>
      <c r="E36" s="11">
        <f>E33+E34+E35</f>
        <v>15</v>
      </c>
      <c r="F36" s="12"/>
      <c r="G36" s="12"/>
      <c r="H36" s="62"/>
    </row>
    <row r="37" spans="1:12" ht="18.75" x14ac:dyDescent="0.25">
      <c r="A37" s="18" t="s">
        <v>59</v>
      </c>
      <c r="B37" s="50"/>
      <c r="C37" s="51"/>
      <c r="D37" s="51"/>
      <c r="E37" s="51"/>
      <c r="F37" s="51"/>
      <c r="G37" s="51"/>
      <c r="H37" s="19"/>
    </row>
    <row r="38" spans="1:12" s="3" customFormat="1" ht="12.75" customHeight="1" x14ac:dyDescent="0.25">
      <c r="A38" s="63"/>
      <c r="B38" s="163"/>
      <c r="C38" s="165" t="s">
        <v>60</v>
      </c>
      <c r="D38" s="145" t="s">
        <v>64</v>
      </c>
      <c r="E38" s="145" t="s">
        <v>65</v>
      </c>
      <c r="F38" s="165" t="s">
        <v>192</v>
      </c>
      <c r="G38" s="165" t="s">
        <v>198</v>
      </c>
      <c r="H38" s="165" t="s">
        <v>199</v>
      </c>
      <c r="J38" s="30"/>
      <c r="K38" s="30"/>
    </row>
    <row r="39" spans="1:12" s="3" customFormat="1" ht="12.75" customHeight="1" x14ac:dyDescent="0.25">
      <c r="A39" s="66"/>
      <c r="B39" s="164"/>
      <c r="C39" s="166"/>
      <c r="D39" s="167"/>
      <c r="E39" s="167"/>
      <c r="F39" s="166"/>
      <c r="G39" s="166"/>
      <c r="H39" s="166"/>
      <c r="J39" s="30"/>
      <c r="K39" s="30"/>
    </row>
    <row r="40" spans="1:12" s="2" customFormat="1" ht="12.75" customHeight="1" x14ac:dyDescent="0.25">
      <c r="A40" s="152" t="s">
        <v>66</v>
      </c>
      <c r="B40" s="153"/>
      <c r="C40" s="136">
        <v>24</v>
      </c>
      <c r="D40" s="92">
        <f>C40+J40</f>
        <v>562</v>
      </c>
      <c r="E40" s="92">
        <f>K40+C40</f>
        <v>13532</v>
      </c>
      <c r="F40" s="92">
        <f>L40+C40</f>
        <v>50678</v>
      </c>
      <c r="G40" s="116">
        <v>50180</v>
      </c>
      <c r="H40" s="116" t="s">
        <v>210</v>
      </c>
      <c r="I40" s="29"/>
      <c r="J40" s="92">
        <v>538</v>
      </c>
      <c r="K40" s="90">
        <v>13508</v>
      </c>
      <c r="L40" s="89">
        <v>50654</v>
      </c>
    </row>
    <row r="41" spans="1:12" s="2" customFormat="1" ht="12.75" customHeight="1" x14ac:dyDescent="0.25">
      <c r="A41" s="158" t="s">
        <v>67</v>
      </c>
      <c r="B41" s="159"/>
      <c r="C41" s="136">
        <v>24</v>
      </c>
      <c r="D41" s="92">
        <f>C41+J41</f>
        <v>562</v>
      </c>
      <c r="E41" s="92">
        <f>K41+C41</f>
        <v>14463</v>
      </c>
      <c r="F41" s="92">
        <f>L41+C41</f>
        <v>48957</v>
      </c>
      <c r="G41" s="116">
        <v>48440</v>
      </c>
      <c r="H41" s="116" t="s">
        <v>211</v>
      </c>
      <c r="I41" s="29"/>
      <c r="J41" s="92">
        <v>538</v>
      </c>
      <c r="K41" s="90">
        <v>14439</v>
      </c>
      <c r="L41" s="89">
        <v>48933</v>
      </c>
    </row>
    <row r="42" spans="1:12" s="2" customFormat="1" ht="12.75" customHeight="1" x14ac:dyDescent="0.25">
      <c r="A42" s="174" t="s">
        <v>95</v>
      </c>
      <c r="B42" s="153"/>
      <c r="C42" s="137">
        <v>0</v>
      </c>
      <c r="D42" s="92">
        <f t="shared" ref="D42:D49" si="1">C42+J42</f>
        <v>86</v>
      </c>
      <c r="E42" s="92">
        <f>K42+C42</f>
        <v>8804</v>
      </c>
      <c r="F42" s="92">
        <f>L42+C42</f>
        <v>46022</v>
      </c>
      <c r="G42" s="117">
        <v>45998</v>
      </c>
      <c r="H42" s="117" t="s">
        <v>215</v>
      </c>
      <c r="I42" s="29"/>
      <c r="J42" s="92">
        <v>86</v>
      </c>
      <c r="K42" s="90">
        <v>8804</v>
      </c>
      <c r="L42" s="89">
        <v>46022</v>
      </c>
    </row>
    <row r="43" spans="1:12" s="2" customFormat="1" ht="12.75" customHeight="1" x14ac:dyDescent="0.25">
      <c r="A43" s="152" t="s">
        <v>96</v>
      </c>
      <c r="B43" s="153"/>
      <c r="C43" s="136">
        <v>24</v>
      </c>
      <c r="D43" s="92">
        <f t="shared" si="1"/>
        <v>621</v>
      </c>
      <c r="E43" s="92">
        <f>K43+C43</f>
        <v>7689</v>
      </c>
      <c r="F43" s="92">
        <f>L43+C43</f>
        <v>52967</v>
      </c>
      <c r="G43" s="116">
        <v>52730</v>
      </c>
      <c r="H43" s="116" t="s">
        <v>216</v>
      </c>
      <c r="I43" s="29"/>
      <c r="J43" s="92">
        <v>597</v>
      </c>
      <c r="K43" s="90">
        <v>7665</v>
      </c>
      <c r="L43" s="89">
        <v>52943</v>
      </c>
    </row>
    <row r="44" spans="1:12" s="2" customFormat="1" ht="12.75" customHeight="1" x14ac:dyDescent="0.25">
      <c r="A44" s="175" t="s">
        <v>196</v>
      </c>
      <c r="B44" s="153"/>
      <c r="C44" s="136">
        <v>0</v>
      </c>
      <c r="D44" s="92">
        <f t="shared" si="1"/>
        <v>0</v>
      </c>
      <c r="E44" s="92" t="s">
        <v>195</v>
      </c>
      <c r="F44" s="92">
        <v>0</v>
      </c>
      <c r="G44" s="95"/>
      <c r="H44" s="95"/>
      <c r="I44" s="29"/>
      <c r="J44" s="92">
        <v>0</v>
      </c>
      <c r="K44" s="90" t="s">
        <v>195</v>
      </c>
      <c r="L44" s="89">
        <v>0</v>
      </c>
    </row>
    <row r="45" spans="1:12" s="2" customFormat="1" ht="12.75" customHeight="1" x14ac:dyDescent="0.25">
      <c r="A45" s="152" t="s">
        <v>61</v>
      </c>
      <c r="B45" s="153"/>
      <c r="C45" s="136">
        <v>14</v>
      </c>
      <c r="D45" s="92">
        <f t="shared" si="1"/>
        <v>268</v>
      </c>
      <c r="E45" s="92">
        <f>K45+C45</f>
        <v>2201</v>
      </c>
      <c r="F45" s="92">
        <f>L45+C45</f>
        <v>8299</v>
      </c>
      <c r="G45" s="95"/>
      <c r="H45" s="95"/>
      <c r="I45" s="29"/>
      <c r="J45" s="92">
        <v>254</v>
      </c>
      <c r="K45" s="90">
        <v>2187</v>
      </c>
      <c r="L45" s="89">
        <v>8285</v>
      </c>
    </row>
    <row r="46" spans="1:12" s="2" customFormat="1" ht="12.75" customHeight="1" x14ac:dyDescent="0.25">
      <c r="A46" s="152" t="s">
        <v>62</v>
      </c>
      <c r="B46" s="153"/>
      <c r="C46" s="136">
        <v>14</v>
      </c>
      <c r="D46" s="92">
        <f t="shared" si="1"/>
        <v>268</v>
      </c>
      <c r="E46" s="92">
        <f>K46+C46</f>
        <v>2206</v>
      </c>
      <c r="F46" s="92">
        <f>L46+C46</f>
        <v>8293</v>
      </c>
      <c r="G46" s="95"/>
      <c r="H46" s="95"/>
      <c r="I46" s="29"/>
      <c r="J46" s="92">
        <v>254</v>
      </c>
      <c r="K46" s="90">
        <v>2192</v>
      </c>
      <c r="L46" s="89">
        <v>8279</v>
      </c>
    </row>
    <row r="47" spans="1:12" s="2" customFormat="1" ht="12.75" customHeight="1" x14ac:dyDescent="0.25">
      <c r="A47" s="152" t="s">
        <v>63</v>
      </c>
      <c r="B47" s="153"/>
      <c r="C47" s="136">
        <v>14</v>
      </c>
      <c r="D47" s="92">
        <f t="shared" si="1"/>
        <v>268</v>
      </c>
      <c r="E47" s="92">
        <f>K47+C47</f>
        <v>2167</v>
      </c>
      <c r="F47" s="92">
        <f>L47+C47</f>
        <v>8257</v>
      </c>
      <c r="G47" s="95"/>
      <c r="H47" s="95"/>
      <c r="I47" s="29"/>
      <c r="J47" s="92">
        <v>254</v>
      </c>
      <c r="K47" s="90">
        <v>2153</v>
      </c>
      <c r="L47" s="89">
        <v>8243</v>
      </c>
    </row>
    <row r="48" spans="1:12" s="2" customFormat="1" ht="12.75" customHeight="1" x14ac:dyDescent="0.25">
      <c r="A48" s="154" t="s">
        <v>68</v>
      </c>
      <c r="B48" s="155"/>
      <c r="C48" s="136">
        <v>0</v>
      </c>
      <c r="D48" s="92">
        <f t="shared" si="1"/>
        <v>18</v>
      </c>
      <c r="E48" s="122">
        <f>K48+C48</f>
        <v>164</v>
      </c>
      <c r="F48" s="122">
        <f>L48+C48</f>
        <v>1399</v>
      </c>
      <c r="G48" s="95"/>
      <c r="H48" s="95"/>
      <c r="I48" s="29"/>
      <c r="J48" s="92">
        <v>18</v>
      </c>
      <c r="K48" s="91">
        <v>164</v>
      </c>
      <c r="L48" s="89">
        <v>1399</v>
      </c>
    </row>
    <row r="49" spans="1:12" s="2" customFormat="1" ht="12.75" customHeight="1" x14ac:dyDescent="0.25">
      <c r="A49" s="152" t="s">
        <v>69</v>
      </c>
      <c r="B49" s="153"/>
      <c r="C49" s="138">
        <v>0</v>
      </c>
      <c r="D49" s="92">
        <f t="shared" si="1"/>
        <v>11</v>
      </c>
      <c r="E49" s="92">
        <f>K49+C49</f>
        <v>373</v>
      </c>
      <c r="F49" s="92">
        <f>L49+C49</f>
        <v>810</v>
      </c>
      <c r="G49" s="96"/>
      <c r="H49" s="96"/>
      <c r="I49" s="29"/>
      <c r="J49" s="92">
        <v>11</v>
      </c>
      <c r="K49" s="90">
        <v>373</v>
      </c>
      <c r="L49" s="89">
        <v>810</v>
      </c>
    </row>
    <row r="50" spans="1:12" ht="18.75" x14ac:dyDescent="0.25">
      <c r="A50" s="18" t="s">
        <v>23</v>
      </c>
      <c r="B50" s="50"/>
      <c r="C50" s="51"/>
      <c r="D50" s="51"/>
      <c r="E50" s="51"/>
      <c r="F50" s="51"/>
      <c r="G50" s="51"/>
      <c r="H50" s="19"/>
    </row>
    <row r="51" spans="1:12" s="3" customFormat="1" ht="12.75" customHeight="1" x14ac:dyDescent="0.25">
      <c r="A51" s="156" t="s">
        <v>20</v>
      </c>
      <c r="B51" s="157"/>
      <c r="C51" s="148"/>
      <c r="D51" s="147" t="s">
        <v>18</v>
      </c>
      <c r="E51" s="148"/>
      <c r="F51" s="145" t="s">
        <v>39</v>
      </c>
      <c r="G51" s="64"/>
      <c r="H51" s="65"/>
    </row>
    <row r="52" spans="1:12" s="3" customFormat="1" ht="12.75" customHeight="1" x14ac:dyDescent="0.25">
      <c r="A52" s="121" t="s">
        <v>4</v>
      </c>
      <c r="B52" s="120" t="s">
        <v>5</v>
      </c>
      <c r="C52" s="120" t="s">
        <v>3</v>
      </c>
      <c r="D52" s="120" t="s">
        <v>24</v>
      </c>
      <c r="E52" s="120" t="s">
        <v>40</v>
      </c>
      <c r="F52" s="146"/>
      <c r="G52" s="64"/>
      <c r="H52" s="65"/>
    </row>
    <row r="53" spans="1:12" s="3" customFormat="1" ht="12.75" customHeight="1" x14ac:dyDescent="0.25">
      <c r="A53" s="133" t="s">
        <v>227</v>
      </c>
      <c r="B53" s="132" t="s">
        <v>221</v>
      </c>
      <c r="C53" s="129"/>
      <c r="D53" s="141">
        <v>46198</v>
      </c>
      <c r="E53" s="141">
        <v>46199</v>
      </c>
      <c r="F53" s="130"/>
      <c r="G53" s="64"/>
      <c r="H53" s="65"/>
    </row>
    <row r="54" spans="1:12" s="3" customFormat="1" ht="12.75" customHeight="1" x14ac:dyDescent="0.25">
      <c r="A54" s="133" t="s">
        <v>228</v>
      </c>
      <c r="B54" s="132" t="s">
        <v>221</v>
      </c>
      <c r="C54" s="129"/>
      <c r="D54" s="141">
        <v>46198</v>
      </c>
      <c r="E54" s="141">
        <v>46199</v>
      </c>
      <c r="F54" s="131"/>
      <c r="G54" s="64"/>
      <c r="H54" s="65"/>
    </row>
    <row r="55" spans="1:12" s="3" customFormat="1" ht="12.75" customHeight="1" x14ac:dyDescent="0.25">
      <c r="A55" s="133" t="s">
        <v>226</v>
      </c>
      <c r="B55" s="132" t="s">
        <v>221</v>
      </c>
      <c r="C55" s="129"/>
      <c r="D55" s="141">
        <v>46198</v>
      </c>
      <c r="E55" s="141">
        <v>46199</v>
      </c>
      <c r="F55" s="131"/>
      <c r="G55" s="64"/>
      <c r="H55" s="65"/>
    </row>
    <row r="56" spans="1:12" s="3" customFormat="1" ht="12.75" customHeight="1" x14ac:dyDescent="0.25">
      <c r="A56" s="133" t="s">
        <v>222</v>
      </c>
      <c r="B56" s="132" t="s">
        <v>221</v>
      </c>
      <c r="C56" s="129"/>
      <c r="D56" s="141">
        <v>46198</v>
      </c>
      <c r="E56" s="141">
        <v>46199</v>
      </c>
      <c r="F56" s="131"/>
      <c r="G56" s="64"/>
      <c r="H56" s="65"/>
    </row>
    <row r="57" spans="1:12" s="3" customFormat="1" ht="12.75" customHeight="1" x14ac:dyDescent="0.25">
      <c r="A57" s="133" t="s">
        <v>223</v>
      </c>
      <c r="B57" s="132" t="s">
        <v>221</v>
      </c>
      <c r="C57" s="129"/>
      <c r="D57" s="141">
        <v>46198</v>
      </c>
      <c r="E57" s="141">
        <v>46199</v>
      </c>
      <c r="F57" s="131"/>
      <c r="G57" s="64"/>
      <c r="H57" s="65"/>
    </row>
    <row r="58" spans="1:12" ht="18.75" x14ac:dyDescent="0.25">
      <c r="A58" s="28" t="s">
        <v>93</v>
      </c>
      <c r="B58" s="68"/>
      <c r="C58" s="69"/>
      <c r="D58" s="69"/>
      <c r="E58" s="69"/>
      <c r="F58" s="69"/>
      <c r="G58" s="51"/>
      <c r="H58" s="19"/>
    </row>
    <row r="59" spans="1:12" s="2" customFormat="1" ht="12.75" customHeight="1" x14ac:dyDescent="0.25">
      <c r="A59" s="67" t="s">
        <v>81</v>
      </c>
      <c r="B59" s="9" t="s">
        <v>82</v>
      </c>
      <c r="C59" s="9" t="s">
        <v>83</v>
      </c>
      <c r="D59" s="9" t="s">
        <v>84</v>
      </c>
      <c r="E59" s="9" t="s">
        <v>39</v>
      </c>
      <c r="F59" s="27"/>
      <c r="G59" s="64"/>
      <c r="H59" s="65"/>
    </row>
    <row r="60" spans="1:12" s="2" customFormat="1" ht="12.75" customHeight="1" x14ac:dyDescent="0.25">
      <c r="A60" s="70" t="s">
        <v>85</v>
      </c>
      <c r="B60" s="83">
        <v>0</v>
      </c>
      <c r="C60" s="83">
        <v>0</v>
      </c>
      <c r="D60" s="83">
        <f t="shared" ref="D60:D65" si="2">B60+C60</f>
        <v>0</v>
      </c>
      <c r="E60" s="3"/>
      <c r="F60" s="72"/>
      <c r="G60" s="64"/>
      <c r="H60" s="65"/>
    </row>
    <row r="61" spans="1:12" s="2" customFormat="1" ht="12.75" customHeight="1" x14ac:dyDescent="0.25">
      <c r="A61" s="70" t="s">
        <v>86</v>
      </c>
      <c r="B61" s="83">
        <v>639</v>
      </c>
      <c r="C61" s="83">
        <v>4</v>
      </c>
      <c r="D61" s="83">
        <f t="shared" si="2"/>
        <v>643</v>
      </c>
      <c r="E61" s="3"/>
      <c r="F61" s="72"/>
      <c r="G61" s="64"/>
      <c r="H61" s="65"/>
    </row>
    <row r="62" spans="1:12" s="2" customFormat="1" ht="12.75" customHeight="1" x14ac:dyDescent="0.25">
      <c r="A62" s="70" t="s">
        <v>87</v>
      </c>
      <c r="B62" s="83">
        <v>49</v>
      </c>
      <c r="C62" s="83">
        <v>0</v>
      </c>
      <c r="D62" s="83">
        <f t="shared" si="2"/>
        <v>49</v>
      </c>
      <c r="E62" s="3"/>
      <c r="F62" s="72"/>
      <c r="G62" s="64"/>
      <c r="H62" s="65"/>
    </row>
    <row r="63" spans="1:12" s="2" customFormat="1" ht="12.75" customHeight="1" x14ac:dyDescent="0.25">
      <c r="A63" s="70" t="s">
        <v>88</v>
      </c>
      <c r="B63" s="83">
        <v>13</v>
      </c>
      <c r="C63" s="83">
        <v>0</v>
      </c>
      <c r="D63" s="83">
        <f t="shared" si="2"/>
        <v>13</v>
      </c>
      <c r="E63" s="3"/>
      <c r="F63" s="72"/>
      <c r="G63" s="64"/>
      <c r="H63" s="65"/>
    </row>
    <row r="64" spans="1:12" s="2" customFormat="1" ht="12.75" customHeight="1" x14ac:dyDescent="0.25">
      <c r="A64" s="70" t="s">
        <v>89</v>
      </c>
      <c r="B64" s="83">
        <v>0</v>
      </c>
      <c r="C64" s="83">
        <v>0</v>
      </c>
      <c r="D64" s="83">
        <f t="shared" si="2"/>
        <v>0</v>
      </c>
      <c r="E64" s="3"/>
      <c r="F64" s="72"/>
      <c r="G64" s="64"/>
      <c r="H64" s="65"/>
    </row>
    <row r="65" spans="1:8" s="2" customFormat="1" ht="12.75" customHeight="1" x14ac:dyDescent="0.25">
      <c r="A65" s="70" t="s">
        <v>90</v>
      </c>
      <c r="B65" s="83">
        <v>0</v>
      </c>
      <c r="C65" s="83">
        <v>0</v>
      </c>
      <c r="D65" s="83">
        <f t="shared" si="2"/>
        <v>0</v>
      </c>
      <c r="E65" s="3"/>
      <c r="F65" s="72"/>
      <c r="G65" s="64"/>
      <c r="H65" s="65"/>
    </row>
    <row r="66" spans="1:8" s="2" customFormat="1" ht="12.75" customHeight="1" x14ac:dyDescent="0.25">
      <c r="A66" s="70" t="s">
        <v>91</v>
      </c>
      <c r="B66" s="83">
        <v>7</v>
      </c>
      <c r="C66" s="83">
        <v>0</v>
      </c>
      <c r="D66" s="83">
        <f>C66+B66</f>
        <v>7</v>
      </c>
      <c r="E66" s="3"/>
      <c r="F66" s="72"/>
      <c r="G66" s="64"/>
      <c r="H66" s="65"/>
    </row>
    <row r="67" spans="1:8" s="2" customFormat="1" ht="12.75" customHeight="1" x14ac:dyDescent="0.25">
      <c r="A67" s="70" t="s">
        <v>92</v>
      </c>
      <c r="B67" s="83">
        <v>0</v>
      </c>
      <c r="C67" s="83">
        <v>0</v>
      </c>
      <c r="D67" s="83">
        <f>B67+C67</f>
        <v>0</v>
      </c>
      <c r="E67" s="3"/>
      <c r="F67" s="72"/>
      <c r="G67" s="64"/>
      <c r="H67" s="65"/>
    </row>
    <row r="68" spans="1:8" s="2" customFormat="1" ht="12.75" customHeight="1" thickBot="1" x14ac:dyDescent="0.3">
      <c r="A68" s="74"/>
      <c r="B68" s="73"/>
      <c r="C68" s="73"/>
      <c r="D68" s="73"/>
      <c r="E68" s="71"/>
      <c r="F68" s="72"/>
      <c r="G68" s="64"/>
      <c r="H68" s="65"/>
    </row>
    <row r="69" spans="1:8" ht="15" customHeight="1" x14ac:dyDescent="0.25">
      <c r="A69" s="22" t="s">
        <v>6</v>
      </c>
      <c r="B69" s="23"/>
      <c r="C69" s="20"/>
      <c r="D69" s="20"/>
      <c r="E69" s="20"/>
      <c r="F69" s="20"/>
      <c r="G69" s="20"/>
      <c r="H69" s="21"/>
    </row>
    <row r="70" spans="1:8" s="2" customFormat="1" x14ac:dyDescent="0.25">
      <c r="A70" s="75" t="s">
        <v>8</v>
      </c>
      <c r="B70" s="76" t="s">
        <v>125</v>
      </c>
      <c r="C70" s="5" t="s">
        <v>9</v>
      </c>
      <c r="D70" s="149" t="s">
        <v>10</v>
      </c>
      <c r="E70" s="150"/>
      <c r="F70" s="150"/>
      <c r="G70" s="150"/>
      <c r="H70" s="151"/>
    </row>
    <row r="71" spans="1:8" s="2" customFormat="1" x14ac:dyDescent="0.25">
      <c r="A71" s="125">
        <v>0</v>
      </c>
      <c r="B71" s="126">
        <v>0.2326388888888889</v>
      </c>
      <c r="C71" s="126">
        <f t="shared" ref="C71" si="3">B71-A71</f>
        <v>0.2326388888888889</v>
      </c>
      <c r="D71" s="142" t="s">
        <v>219</v>
      </c>
      <c r="E71" s="143"/>
      <c r="F71" s="143"/>
      <c r="G71" s="143"/>
      <c r="H71" s="144"/>
    </row>
    <row r="72" spans="1:8" s="2" customFormat="1" x14ac:dyDescent="0.25">
      <c r="A72" s="125">
        <v>0.2326388888888889</v>
      </c>
      <c r="B72" s="126">
        <v>0.26041666666666669</v>
      </c>
      <c r="C72" s="126">
        <f t="shared" ref="C72:C75" si="4">B72-A72</f>
        <v>2.777777777777779E-2</v>
      </c>
      <c r="D72" s="142" t="s">
        <v>220</v>
      </c>
      <c r="E72" s="143"/>
      <c r="F72" s="143"/>
      <c r="G72" s="143"/>
      <c r="H72" s="144"/>
    </row>
    <row r="73" spans="1:8" s="2" customFormat="1" x14ac:dyDescent="0.25">
      <c r="A73" s="125">
        <v>0.26041666666666669</v>
      </c>
      <c r="B73" s="126">
        <v>0.27430555555555558</v>
      </c>
      <c r="C73" s="126">
        <f t="shared" si="4"/>
        <v>1.3888888888888895E-2</v>
      </c>
      <c r="D73" s="142" t="s">
        <v>225</v>
      </c>
      <c r="E73" s="143"/>
      <c r="F73" s="143"/>
      <c r="G73" s="143"/>
      <c r="H73" s="144"/>
    </row>
    <row r="74" spans="1:8" s="2" customFormat="1" x14ac:dyDescent="0.25">
      <c r="A74" s="125">
        <v>0.27430555555555558</v>
      </c>
      <c r="B74" s="126">
        <v>0.33333333333333331</v>
      </c>
      <c r="C74" s="126">
        <f t="shared" si="4"/>
        <v>5.9027777777777735E-2</v>
      </c>
      <c r="D74" s="142" t="s">
        <v>229</v>
      </c>
      <c r="E74" s="143"/>
      <c r="F74" s="143"/>
      <c r="G74" s="143"/>
      <c r="H74" s="144"/>
    </row>
    <row r="75" spans="1:8" s="2" customFormat="1" x14ac:dyDescent="0.25">
      <c r="A75" s="125">
        <v>0.33333333333333331</v>
      </c>
      <c r="B75" s="126">
        <v>0.48958333333333331</v>
      </c>
      <c r="C75" s="126">
        <f t="shared" si="4"/>
        <v>0.15625</v>
      </c>
      <c r="D75" s="142" t="s">
        <v>224</v>
      </c>
      <c r="E75" s="143"/>
      <c r="F75" s="143"/>
      <c r="G75" s="143"/>
      <c r="H75" s="144"/>
    </row>
    <row r="76" spans="1:8" s="2" customFormat="1" x14ac:dyDescent="0.25">
      <c r="A76" s="125">
        <v>0.48958333333333331</v>
      </c>
      <c r="B76" s="126">
        <v>0.53125</v>
      </c>
      <c r="C76" s="126">
        <f t="shared" ref="C76" si="5">B76-A76</f>
        <v>4.1666666666666685E-2</v>
      </c>
      <c r="D76" s="142" t="s">
        <v>232</v>
      </c>
      <c r="E76" s="143"/>
      <c r="F76" s="143"/>
      <c r="G76" s="143"/>
      <c r="H76" s="144"/>
    </row>
    <row r="77" spans="1:8" s="2" customFormat="1" ht="12.75" customHeight="1" x14ac:dyDescent="0.25">
      <c r="A77" s="125">
        <v>0.53125</v>
      </c>
      <c r="B77" s="126">
        <v>0.59027777777777779</v>
      </c>
      <c r="C77" s="126">
        <f t="shared" ref="C77:C78" si="6">B77-A77</f>
        <v>5.902777777777779E-2</v>
      </c>
      <c r="D77" s="142" t="s">
        <v>233</v>
      </c>
      <c r="E77" s="143"/>
      <c r="F77" s="143"/>
      <c r="G77" s="143"/>
      <c r="H77" s="144"/>
    </row>
    <row r="78" spans="1:8" s="2" customFormat="1" ht="12.75" customHeight="1" x14ac:dyDescent="0.25">
      <c r="A78" s="125">
        <v>0.59027777777777779</v>
      </c>
      <c r="B78" s="126">
        <v>0.60416666666666663</v>
      </c>
      <c r="C78" s="126">
        <f t="shared" si="6"/>
        <v>1.388888888888884E-2</v>
      </c>
      <c r="D78" s="142" t="s">
        <v>234</v>
      </c>
      <c r="E78" s="143"/>
      <c r="F78" s="143"/>
      <c r="G78" s="143"/>
      <c r="H78" s="144"/>
    </row>
    <row r="79" spans="1:8" s="2" customFormat="1" ht="12.75" customHeight="1" x14ac:dyDescent="0.25">
      <c r="A79" s="125">
        <v>0.60416666666666663</v>
      </c>
      <c r="B79" s="126">
        <v>0.69791666666666663</v>
      </c>
      <c r="C79" s="126">
        <f t="shared" ref="C79" si="7">B79-A79</f>
        <v>9.375E-2</v>
      </c>
      <c r="D79" s="142" t="s">
        <v>235</v>
      </c>
      <c r="E79" s="143"/>
      <c r="F79" s="143"/>
      <c r="G79" s="143"/>
      <c r="H79" s="144"/>
    </row>
    <row r="80" spans="1:8" s="2" customFormat="1" ht="12.75" customHeight="1" x14ac:dyDescent="0.25">
      <c r="A80" s="125">
        <v>0.69791666666666663</v>
      </c>
      <c r="B80" s="126">
        <v>0.72916666666666663</v>
      </c>
      <c r="C80" s="126">
        <f t="shared" ref="C80" si="8">B80-A80</f>
        <v>3.125E-2</v>
      </c>
      <c r="D80" s="142" t="s">
        <v>232</v>
      </c>
      <c r="E80" s="143"/>
      <c r="F80" s="143"/>
      <c r="G80" s="143"/>
      <c r="H80" s="144"/>
    </row>
    <row r="81" spans="1:8" s="2" customFormat="1" x14ac:dyDescent="0.25">
      <c r="A81" s="125">
        <v>0.72916666666666663</v>
      </c>
      <c r="B81" s="126">
        <v>0.91319444444444442</v>
      </c>
      <c r="C81" s="126">
        <f t="shared" ref="C81:C82" si="9">B81-A81</f>
        <v>0.18402777777777779</v>
      </c>
      <c r="D81" s="142" t="s">
        <v>240</v>
      </c>
      <c r="E81" s="143"/>
      <c r="F81" s="143"/>
      <c r="G81" s="143"/>
      <c r="H81" s="144"/>
    </row>
    <row r="82" spans="1:8" s="2" customFormat="1" x14ac:dyDescent="0.25">
      <c r="A82" s="125">
        <v>0.91319444444444442</v>
      </c>
      <c r="B82" s="126">
        <v>0.99930555555555556</v>
      </c>
      <c r="C82" s="126">
        <f t="shared" si="9"/>
        <v>8.6111111111111138E-2</v>
      </c>
      <c r="D82" s="142" t="s">
        <v>219</v>
      </c>
      <c r="E82" s="143"/>
      <c r="F82" s="143"/>
      <c r="G82" s="143"/>
      <c r="H82" s="144"/>
    </row>
    <row r="83" spans="1:8" s="2" customFormat="1" x14ac:dyDescent="0.25">
      <c r="A83" s="125"/>
      <c r="B83" s="126"/>
      <c r="C83" s="126"/>
      <c r="D83" s="142"/>
      <c r="E83" s="143"/>
      <c r="F83" s="143"/>
      <c r="G83" s="143"/>
      <c r="H83" s="144"/>
    </row>
    <row r="84" spans="1:8" s="2" customFormat="1" x14ac:dyDescent="0.25">
      <c r="A84" s="125"/>
      <c r="B84" s="126"/>
      <c r="C84" s="126"/>
      <c r="D84" s="142"/>
      <c r="E84" s="143"/>
      <c r="F84" s="143"/>
      <c r="G84" s="143"/>
      <c r="H84" s="144"/>
    </row>
    <row r="85" spans="1:8" s="2" customFormat="1" x14ac:dyDescent="0.25">
      <c r="A85" s="126"/>
      <c r="B85" s="134"/>
      <c r="C85" s="126"/>
      <c r="D85" s="142"/>
      <c r="E85" s="143"/>
      <c r="F85" s="143"/>
      <c r="G85" s="143"/>
      <c r="H85" s="144"/>
    </row>
    <row r="86" spans="1:8" s="2" customFormat="1" x14ac:dyDescent="0.25">
      <c r="A86" s="126"/>
      <c r="B86" s="134"/>
      <c r="C86" s="126"/>
      <c r="D86" s="142"/>
      <c r="E86" s="143"/>
      <c r="F86" s="143"/>
      <c r="G86" s="143"/>
      <c r="H86" s="144"/>
    </row>
    <row r="87" spans="1:8" ht="15" customHeight="1" x14ac:dyDescent="0.25">
      <c r="A87" s="118"/>
      <c r="B87" s="119"/>
      <c r="C87" s="51"/>
      <c r="D87" s="51"/>
      <c r="E87" s="51"/>
      <c r="F87" s="51"/>
      <c r="G87" s="51"/>
      <c r="H87" s="19"/>
    </row>
    <row r="88" spans="1:8" ht="20.25" customHeight="1" x14ac:dyDescent="0.25">
      <c r="A88" s="191"/>
      <c r="B88" s="192"/>
      <c r="C88" s="192"/>
      <c r="D88" s="192"/>
      <c r="E88" s="192"/>
      <c r="F88" s="192"/>
      <c r="G88" s="192"/>
      <c r="H88" s="193"/>
    </row>
    <row r="89" spans="1:8" ht="20.25" customHeight="1" x14ac:dyDescent="0.25">
      <c r="A89" s="191"/>
      <c r="B89" s="192"/>
      <c r="C89" s="192"/>
      <c r="D89" s="192"/>
      <c r="E89" s="192"/>
      <c r="F89" s="192"/>
      <c r="G89" s="192"/>
      <c r="H89" s="193"/>
    </row>
    <row r="90" spans="1:8" ht="20.25" customHeight="1" thickBot="1" x14ac:dyDescent="0.3">
      <c r="A90" s="188"/>
      <c r="B90" s="189"/>
      <c r="C90" s="189"/>
      <c r="D90" s="189"/>
      <c r="E90" s="189"/>
      <c r="F90" s="189"/>
      <c r="G90" s="189"/>
      <c r="H90" s="190"/>
    </row>
  </sheetData>
  <mergeCells count="48">
    <mergeCell ref="D83:H83"/>
    <mergeCell ref="A90:H90"/>
    <mergeCell ref="A88:H88"/>
    <mergeCell ref="A89:H89"/>
    <mergeCell ref="D84:H84"/>
    <mergeCell ref="D85:H85"/>
    <mergeCell ref="D86:H86"/>
    <mergeCell ref="A1:H1"/>
    <mergeCell ref="A2:C2"/>
    <mergeCell ref="D2:F2"/>
    <mergeCell ref="A5:H5"/>
    <mergeCell ref="A8:H8"/>
    <mergeCell ref="A45:B45"/>
    <mergeCell ref="A41:B41"/>
    <mergeCell ref="A11:H11"/>
    <mergeCell ref="B38:B39"/>
    <mergeCell ref="C38:C39"/>
    <mergeCell ref="D38:D39"/>
    <mergeCell ref="E38:E39"/>
    <mergeCell ref="F38:F39"/>
    <mergeCell ref="A31:H31"/>
    <mergeCell ref="A14:H14"/>
    <mergeCell ref="G38:G39"/>
    <mergeCell ref="H38:H39"/>
    <mergeCell ref="A40:B40"/>
    <mergeCell ref="A42:B42"/>
    <mergeCell ref="A43:B43"/>
    <mergeCell ref="A44:B44"/>
    <mergeCell ref="A46:B46"/>
    <mergeCell ref="A47:B47"/>
    <mergeCell ref="A48:B48"/>
    <mergeCell ref="A49:B49"/>
    <mergeCell ref="A51:C51"/>
    <mergeCell ref="D81:H81"/>
    <mergeCell ref="D82:H82"/>
    <mergeCell ref="F51:F52"/>
    <mergeCell ref="D51:E51"/>
    <mergeCell ref="D70:H70"/>
    <mergeCell ref="D71:H71"/>
    <mergeCell ref="D78:H78"/>
    <mergeCell ref="D77:H77"/>
    <mergeCell ref="D74:H74"/>
    <mergeCell ref="D76:H76"/>
    <mergeCell ref="D73:H73"/>
    <mergeCell ref="D72:H72"/>
    <mergeCell ref="D75:H75"/>
    <mergeCell ref="D79:H79"/>
    <mergeCell ref="D80:H80"/>
  </mergeCells>
  <phoneticPr fontId="43" type="noConversion"/>
  <pageMargins left="0.7" right="0.7" top="0.75" bottom="0.75" header="0.3" footer="0.3"/>
  <pageSetup scale="46" orientation="portrait" r:id="rId1"/>
  <rowBreaks count="1" manualBreakCount="1">
    <brk id="49" min="1" max="7"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B1947-F2BA-46DC-A6C0-18FE8EB77901}">
  <sheetPr>
    <pageSetUpPr fitToPage="1"/>
  </sheetPr>
  <dimension ref="A1:AB41"/>
  <sheetViews>
    <sheetView zoomScale="90" zoomScaleNormal="90" workbookViewId="0">
      <selection activeCell="X5" sqref="X5"/>
    </sheetView>
  </sheetViews>
  <sheetFormatPr defaultRowHeight="15" x14ac:dyDescent="0.25"/>
  <sheetData>
    <row r="1" spans="1:28" x14ac:dyDescent="0.25">
      <c r="A1" s="102"/>
      <c r="B1" s="204" t="s">
        <v>127</v>
      </c>
      <c r="C1" s="204"/>
      <c r="D1" s="102"/>
      <c r="E1" s="102"/>
      <c r="F1" s="102"/>
      <c r="G1" s="102"/>
      <c r="H1" s="102"/>
      <c r="I1" s="102"/>
      <c r="J1" s="102"/>
      <c r="K1" s="102"/>
      <c r="L1" s="102"/>
      <c r="M1" s="102"/>
      <c r="N1" s="102"/>
      <c r="O1" s="102"/>
      <c r="P1" s="102"/>
      <c r="Q1" s="102"/>
      <c r="R1" s="102"/>
      <c r="S1" s="102"/>
      <c r="T1" s="102"/>
      <c r="U1" s="102"/>
      <c r="V1" s="102"/>
      <c r="W1" s="102"/>
      <c r="X1" s="102"/>
      <c r="Y1" s="102"/>
      <c r="Z1" s="102"/>
      <c r="AA1" s="102"/>
      <c r="AB1" s="102"/>
    </row>
    <row r="2" spans="1:28" x14ac:dyDescent="0.25">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row>
    <row r="3" spans="1:28" x14ac:dyDescent="0.25">
      <c r="A3" s="102"/>
      <c r="B3" s="197" t="s">
        <v>128</v>
      </c>
      <c r="C3" s="198"/>
      <c r="D3" s="198"/>
      <c r="E3" s="198"/>
      <c r="F3" s="198"/>
      <c r="G3" s="198"/>
      <c r="H3" s="198"/>
      <c r="I3" s="198"/>
      <c r="J3" s="198"/>
      <c r="K3" s="198"/>
      <c r="L3" s="198"/>
      <c r="M3" s="198"/>
      <c r="N3" s="198"/>
      <c r="O3" s="102"/>
      <c r="P3" s="197" t="s">
        <v>129</v>
      </c>
      <c r="Q3" s="198"/>
      <c r="R3" s="198"/>
      <c r="S3" s="198"/>
      <c r="T3" s="198"/>
      <c r="U3" s="198"/>
      <c r="V3" s="198"/>
      <c r="W3" s="198"/>
      <c r="X3" s="198"/>
      <c r="Y3" s="198"/>
      <c r="Z3" s="198"/>
      <c r="AA3" s="198"/>
      <c r="AB3" s="198"/>
    </row>
    <row r="4" spans="1:28" x14ac:dyDescent="0.25">
      <c r="A4" s="102"/>
      <c r="B4" s="194" t="s">
        <v>130</v>
      </c>
      <c r="C4" s="195"/>
      <c r="D4" s="194" t="s">
        <v>185</v>
      </c>
      <c r="E4" s="195"/>
      <c r="F4" s="104"/>
      <c r="G4" s="194" t="s">
        <v>131</v>
      </c>
      <c r="H4" s="195"/>
      <c r="I4" s="104"/>
      <c r="J4" s="194" t="s">
        <v>132</v>
      </c>
      <c r="K4" s="195"/>
      <c r="L4" s="104"/>
      <c r="M4" s="104"/>
      <c r="N4" s="104"/>
      <c r="O4" s="102"/>
      <c r="P4" s="194" t="s">
        <v>130</v>
      </c>
      <c r="Q4" s="195"/>
      <c r="R4" s="194" t="s">
        <v>185</v>
      </c>
      <c r="S4" s="195"/>
      <c r="T4" s="104"/>
      <c r="U4" s="199" t="s">
        <v>131</v>
      </c>
      <c r="V4" s="200"/>
      <c r="W4" s="104"/>
      <c r="X4" s="194" t="s">
        <v>132</v>
      </c>
      <c r="Y4" s="195"/>
      <c r="Z4" s="104"/>
      <c r="AA4" s="104"/>
      <c r="AB4" s="104"/>
    </row>
    <row r="5" spans="1:28" x14ac:dyDescent="0.25">
      <c r="A5" s="102"/>
      <c r="B5" s="111">
        <v>980</v>
      </c>
      <c r="C5" s="105"/>
      <c r="D5" s="108">
        <v>50</v>
      </c>
      <c r="E5" s="105"/>
      <c r="F5" s="105"/>
      <c r="G5" s="112">
        <v>50</v>
      </c>
      <c r="H5" s="105"/>
      <c r="I5" s="105"/>
      <c r="J5" s="111">
        <v>1000</v>
      </c>
      <c r="K5" s="105"/>
      <c r="L5" s="105"/>
      <c r="M5" s="105"/>
      <c r="N5" s="105"/>
      <c r="O5" s="102"/>
      <c r="P5" s="107">
        <v>982</v>
      </c>
      <c r="Q5" s="104"/>
      <c r="R5" s="107">
        <v>50</v>
      </c>
      <c r="S5" s="104"/>
      <c r="T5" s="104"/>
      <c r="U5" s="112">
        <v>50</v>
      </c>
      <c r="V5" s="104"/>
      <c r="W5" s="104"/>
      <c r="X5" s="107">
        <v>1000</v>
      </c>
      <c r="Y5" s="104"/>
      <c r="Z5" s="104"/>
      <c r="AA5" s="104"/>
      <c r="AB5" s="104"/>
    </row>
    <row r="6" spans="1:28" x14ac:dyDescent="0.25">
      <c r="A6" s="102"/>
      <c r="B6" s="194" t="s">
        <v>133</v>
      </c>
      <c r="C6" s="196"/>
      <c r="D6" s="195"/>
      <c r="E6" s="104"/>
      <c r="F6" s="104"/>
      <c r="G6" s="104"/>
      <c r="H6" s="104"/>
      <c r="I6" s="104"/>
      <c r="J6" s="104"/>
      <c r="K6" s="104"/>
      <c r="L6" s="104"/>
      <c r="M6" s="104"/>
      <c r="N6" s="104"/>
      <c r="O6" s="102"/>
      <c r="P6" s="194" t="s">
        <v>133</v>
      </c>
      <c r="Q6" s="196"/>
      <c r="R6" s="195"/>
      <c r="S6" s="104"/>
      <c r="T6" s="104"/>
      <c r="U6" s="104"/>
      <c r="V6" s="104"/>
      <c r="W6" s="104"/>
      <c r="X6" s="104"/>
      <c r="Y6" s="104"/>
      <c r="Z6" s="104"/>
      <c r="AA6" s="104"/>
      <c r="AB6" s="104"/>
    </row>
    <row r="7" spans="1:28" x14ac:dyDescent="0.25">
      <c r="A7" s="102"/>
      <c r="B7" s="107" t="s">
        <v>134</v>
      </c>
      <c r="C7" s="107" t="s">
        <v>135</v>
      </c>
      <c r="D7" s="107" t="s">
        <v>136</v>
      </c>
      <c r="E7" s="107" t="s">
        <v>137</v>
      </c>
      <c r="F7" s="107" t="s">
        <v>138</v>
      </c>
      <c r="G7" s="107" t="s">
        <v>139</v>
      </c>
      <c r="H7" s="107" t="s">
        <v>140</v>
      </c>
      <c r="I7" s="107" t="s">
        <v>141</v>
      </c>
      <c r="J7" s="107" t="s">
        <v>142</v>
      </c>
      <c r="K7" s="107" t="s">
        <v>143</v>
      </c>
      <c r="L7" s="107" t="s">
        <v>144</v>
      </c>
      <c r="M7" s="107" t="s">
        <v>145</v>
      </c>
      <c r="N7" s="106" t="s">
        <v>146</v>
      </c>
      <c r="O7" s="102"/>
      <c r="P7" s="107" t="s">
        <v>134</v>
      </c>
      <c r="Q7" s="107" t="s">
        <v>135</v>
      </c>
      <c r="R7" s="107" t="s">
        <v>136</v>
      </c>
      <c r="S7" s="107" t="s">
        <v>137</v>
      </c>
      <c r="T7" s="107" t="s">
        <v>138</v>
      </c>
      <c r="U7" s="107" t="s">
        <v>139</v>
      </c>
      <c r="V7" s="107" t="s">
        <v>140</v>
      </c>
      <c r="W7" s="107" t="s">
        <v>141</v>
      </c>
      <c r="X7" s="107" t="s">
        <v>142</v>
      </c>
      <c r="Y7" s="107" t="s">
        <v>143</v>
      </c>
      <c r="Z7" s="107" t="s">
        <v>144</v>
      </c>
      <c r="AA7" s="107" t="s">
        <v>145</v>
      </c>
      <c r="AB7" s="107" t="s">
        <v>146</v>
      </c>
    </row>
    <row r="8" spans="1:28" x14ac:dyDescent="0.25">
      <c r="A8" s="102"/>
      <c r="B8" s="107">
        <v>320</v>
      </c>
      <c r="C8" s="107">
        <v>319</v>
      </c>
      <c r="D8" s="107">
        <v>317</v>
      </c>
      <c r="E8" s="107">
        <v>325</v>
      </c>
      <c r="F8" s="107">
        <v>320</v>
      </c>
      <c r="G8" s="107">
        <v>328</v>
      </c>
      <c r="H8" s="107">
        <v>330</v>
      </c>
      <c r="I8" s="107">
        <v>320</v>
      </c>
      <c r="J8" s="107">
        <v>319</v>
      </c>
      <c r="K8" s="107">
        <v>319</v>
      </c>
      <c r="L8" s="107">
        <v>317</v>
      </c>
      <c r="M8" s="107">
        <v>320</v>
      </c>
      <c r="N8" s="109">
        <v>15</v>
      </c>
      <c r="O8" s="102"/>
      <c r="P8" s="107">
        <v>318</v>
      </c>
      <c r="Q8" s="107">
        <v>325</v>
      </c>
      <c r="R8" s="107">
        <v>330</v>
      </c>
      <c r="S8" s="107">
        <v>335</v>
      </c>
      <c r="T8" s="107">
        <v>319</v>
      </c>
      <c r="U8" s="107">
        <v>317</v>
      </c>
      <c r="V8" s="107">
        <v>319</v>
      </c>
      <c r="W8" s="107">
        <v>320</v>
      </c>
      <c r="X8" s="107">
        <v>325</v>
      </c>
      <c r="Y8" s="107">
        <v>330</v>
      </c>
      <c r="Z8" s="107">
        <v>318</v>
      </c>
      <c r="AA8" s="107">
        <v>320</v>
      </c>
      <c r="AB8" s="109">
        <v>20</v>
      </c>
    </row>
    <row r="9" spans="1:28" x14ac:dyDescent="0.25">
      <c r="A9" s="102"/>
      <c r="B9" s="107" t="s">
        <v>147</v>
      </c>
      <c r="C9" s="104"/>
      <c r="D9" s="104"/>
      <c r="E9" s="104"/>
      <c r="F9" s="104"/>
      <c r="G9" s="104"/>
      <c r="H9" s="107" t="s">
        <v>148</v>
      </c>
      <c r="I9" s="104"/>
      <c r="J9" s="104"/>
      <c r="K9" s="104"/>
      <c r="L9" s="104"/>
      <c r="M9" s="104"/>
      <c r="N9" s="104"/>
      <c r="O9" s="102"/>
      <c r="P9" s="107" t="s">
        <v>147</v>
      </c>
      <c r="Q9" s="104"/>
      <c r="R9" s="104"/>
      <c r="S9" s="104"/>
      <c r="T9" s="104"/>
      <c r="U9" s="104"/>
      <c r="V9" s="107" t="s">
        <v>148</v>
      </c>
      <c r="W9" s="104"/>
      <c r="X9" s="104"/>
      <c r="Y9" s="104"/>
      <c r="Z9" s="104"/>
      <c r="AA9" s="104"/>
      <c r="AB9" s="104"/>
    </row>
    <row r="10" spans="1:28" x14ac:dyDescent="0.25">
      <c r="A10" s="102"/>
      <c r="B10" s="194" t="s">
        <v>149</v>
      </c>
      <c r="C10" s="196"/>
      <c r="D10" s="196"/>
      <c r="E10" s="195"/>
      <c r="F10" s="104"/>
      <c r="G10" s="104"/>
      <c r="H10" s="194" t="s">
        <v>149</v>
      </c>
      <c r="I10" s="196"/>
      <c r="J10" s="196"/>
      <c r="K10" s="195"/>
      <c r="L10" s="104"/>
      <c r="M10" s="104"/>
      <c r="N10" s="104"/>
      <c r="O10" s="102"/>
      <c r="P10" s="194" t="s">
        <v>149</v>
      </c>
      <c r="Q10" s="196"/>
      <c r="R10" s="196"/>
      <c r="S10" s="195"/>
      <c r="T10" s="104"/>
      <c r="U10" s="104"/>
      <c r="V10" s="194" t="s">
        <v>149</v>
      </c>
      <c r="W10" s="196"/>
      <c r="X10" s="196"/>
      <c r="Y10" s="195"/>
      <c r="Z10" s="104"/>
      <c r="AA10" s="104"/>
      <c r="AB10" s="104"/>
    </row>
    <row r="11" spans="1:28" x14ac:dyDescent="0.25">
      <c r="A11" s="102"/>
      <c r="B11" s="107">
        <v>420</v>
      </c>
      <c r="C11" s="107">
        <v>380</v>
      </c>
      <c r="D11" s="104"/>
      <c r="E11" s="104"/>
      <c r="F11" s="104"/>
      <c r="G11" s="104"/>
      <c r="H11" s="107">
        <v>425</v>
      </c>
      <c r="I11" s="107">
        <v>385</v>
      </c>
      <c r="J11" s="104"/>
      <c r="K11" s="104"/>
      <c r="L11" s="104"/>
      <c r="M11" s="104"/>
      <c r="N11" s="104"/>
      <c r="O11" s="102"/>
      <c r="P11" s="107">
        <v>418</v>
      </c>
      <c r="Q11" s="107">
        <v>382</v>
      </c>
      <c r="R11" s="104"/>
      <c r="S11" s="104"/>
      <c r="T11" s="104"/>
      <c r="U11" s="104"/>
      <c r="V11" s="107">
        <v>419</v>
      </c>
      <c r="W11" s="107">
        <v>380</v>
      </c>
      <c r="X11" s="104"/>
      <c r="Y11" s="104"/>
      <c r="Z11" s="104"/>
      <c r="AA11" s="104"/>
      <c r="AB11" s="104"/>
    </row>
    <row r="12" spans="1:28" x14ac:dyDescent="0.25">
      <c r="A12" s="102"/>
      <c r="B12" s="107" t="s">
        <v>150</v>
      </c>
      <c r="C12" s="104"/>
      <c r="D12" s="104"/>
      <c r="E12" s="104"/>
      <c r="F12" s="104"/>
      <c r="G12" s="104"/>
      <c r="H12" s="107" t="s">
        <v>150</v>
      </c>
      <c r="I12" s="104"/>
      <c r="J12" s="104"/>
      <c r="K12" s="104"/>
      <c r="L12" s="104"/>
      <c r="M12" s="104"/>
      <c r="N12" s="104"/>
      <c r="O12" s="102"/>
      <c r="P12" s="107" t="s">
        <v>150</v>
      </c>
      <c r="Q12" s="104"/>
      <c r="R12" s="104"/>
      <c r="S12" s="104"/>
      <c r="T12" s="104"/>
      <c r="U12" s="104"/>
      <c r="V12" s="107" t="s">
        <v>150</v>
      </c>
      <c r="W12" s="104"/>
      <c r="X12" s="104"/>
      <c r="Y12" s="104"/>
      <c r="Z12" s="104"/>
      <c r="AA12" s="104"/>
      <c r="AB12" s="104"/>
    </row>
    <row r="13" spans="1:28" x14ac:dyDescent="0.25">
      <c r="A13" s="102"/>
      <c r="B13" s="107">
        <v>9800</v>
      </c>
      <c r="C13" s="104"/>
      <c r="D13" s="104"/>
      <c r="E13" s="104"/>
      <c r="F13" s="104"/>
      <c r="G13" s="104"/>
      <c r="H13" s="107">
        <v>9850</v>
      </c>
      <c r="I13" s="104"/>
      <c r="J13" s="104"/>
      <c r="K13" s="104"/>
      <c r="L13" s="104"/>
      <c r="M13" s="104"/>
      <c r="N13" s="104"/>
      <c r="O13" s="102"/>
      <c r="P13" s="107">
        <v>9900</v>
      </c>
      <c r="Q13" s="104"/>
      <c r="R13" s="104"/>
      <c r="S13" s="104"/>
      <c r="T13" s="104"/>
      <c r="U13" s="104"/>
      <c r="V13" s="107">
        <v>9850</v>
      </c>
      <c r="W13" s="104"/>
      <c r="X13" s="104"/>
      <c r="Y13" s="104"/>
      <c r="Z13" s="104"/>
      <c r="AA13" s="104"/>
      <c r="AB13" s="104"/>
    </row>
    <row r="14" spans="1:28" x14ac:dyDescent="0.25">
      <c r="A14" s="102"/>
      <c r="B14" s="194" t="s">
        <v>151</v>
      </c>
      <c r="C14" s="196"/>
      <c r="D14" s="196"/>
      <c r="E14" s="196"/>
      <c r="F14" s="195"/>
      <c r="G14" s="107" t="s">
        <v>152</v>
      </c>
      <c r="H14" s="104"/>
      <c r="I14" s="104"/>
      <c r="J14" s="104"/>
      <c r="K14" s="104"/>
      <c r="L14" s="104"/>
      <c r="M14" s="104"/>
      <c r="N14" s="104"/>
      <c r="O14" s="102"/>
      <c r="P14" s="194" t="s">
        <v>151</v>
      </c>
      <c r="Q14" s="196"/>
      <c r="R14" s="196"/>
      <c r="S14" s="196"/>
      <c r="T14" s="195"/>
      <c r="U14" s="107" t="s">
        <v>152</v>
      </c>
      <c r="V14" s="104"/>
      <c r="W14" s="104"/>
      <c r="X14" s="104"/>
      <c r="Y14" s="104"/>
      <c r="Z14" s="104"/>
      <c r="AA14" s="104"/>
      <c r="AB14" s="104"/>
    </row>
    <row r="15" spans="1:28" x14ac:dyDescent="0.25">
      <c r="A15" s="102"/>
      <c r="B15" s="107" t="s">
        <v>97</v>
      </c>
      <c r="C15" s="107">
        <v>0.01</v>
      </c>
      <c r="D15" s="104"/>
      <c r="E15" s="104"/>
      <c r="F15" s="104"/>
      <c r="G15" s="110" t="s">
        <v>153</v>
      </c>
      <c r="H15" s="104"/>
      <c r="I15" s="104"/>
      <c r="J15" s="104"/>
      <c r="K15" s="104"/>
      <c r="L15" s="104"/>
      <c r="M15" s="104"/>
      <c r="N15" s="104"/>
      <c r="O15" s="102"/>
      <c r="P15" s="107" t="s">
        <v>97</v>
      </c>
      <c r="Q15" s="107">
        <v>0.01</v>
      </c>
      <c r="R15" s="104"/>
      <c r="S15" s="104"/>
      <c r="T15" s="104"/>
      <c r="U15" s="110" t="s">
        <v>153</v>
      </c>
      <c r="V15" s="104"/>
      <c r="W15" s="104"/>
      <c r="X15" s="104"/>
      <c r="Y15" s="104"/>
      <c r="Z15" s="104"/>
      <c r="AA15" s="104"/>
      <c r="AB15" s="104"/>
    </row>
    <row r="16" spans="1:28" x14ac:dyDescent="0.25">
      <c r="A16" s="102"/>
      <c r="B16" s="194" t="s">
        <v>154</v>
      </c>
      <c r="C16" s="195"/>
      <c r="D16" s="104"/>
      <c r="E16" s="104"/>
      <c r="F16" s="104"/>
      <c r="G16" s="104"/>
      <c r="H16" s="194" t="s">
        <v>155</v>
      </c>
      <c r="I16" s="195"/>
      <c r="J16" s="104"/>
      <c r="K16" s="104"/>
      <c r="L16" s="104"/>
      <c r="M16" s="104"/>
      <c r="N16" s="104"/>
      <c r="O16" s="102"/>
      <c r="P16" s="194" t="s">
        <v>154</v>
      </c>
      <c r="Q16" s="195"/>
      <c r="R16" s="104"/>
      <c r="S16" s="104"/>
      <c r="T16" s="104"/>
      <c r="U16" s="104"/>
      <c r="V16" s="194" t="s">
        <v>155</v>
      </c>
      <c r="W16" s="195"/>
      <c r="X16" s="104"/>
      <c r="Y16" s="104"/>
      <c r="Z16" s="104"/>
      <c r="AA16" s="104"/>
      <c r="AB16" s="104"/>
    </row>
    <row r="17" spans="1:28" x14ac:dyDescent="0.25">
      <c r="A17" s="102"/>
      <c r="B17" s="107">
        <v>5</v>
      </c>
      <c r="C17" s="104"/>
      <c r="D17" s="104"/>
      <c r="E17" s="104"/>
      <c r="F17" s="104"/>
      <c r="G17" s="104"/>
      <c r="H17" s="107">
        <v>8</v>
      </c>
      <c r="I17" s="104"/>
      <c r="J17" s="104"/>
      <c r="K17" s="104"/>
      <c r="L17" s="104"/>
      <c r="M17" s="104"/>
      <c r="N17" s="104"/>
      <c r="O17" s="102"/>
      <c r="P17" s="107">
        <v>5</v>
      </c>
      <c r="Q17" s="104"/>
      <c r="R17" s="104"/>
      <c r="S17" s="104"/>
      <c r="T17" s="104"/>
      <c r="U17" s="104"/>
      <c r="V17" s="107">
        <v>8</v>
      </c>
      <c r="W17" s="104"/>
      <c r="X17" s="104"/>
      <c r="Y17" s="104"/>
      <c r="Z17" s="104"/>
      <c r="AA17" s="104"/>
      <c r="AB17" s="104"/>
    </row>
    <row r="18" spans="1:28" x14ac:dyDescent="0.25">
      <c r="A18" s="102"/>
      <c r="B18" s="194" t="s">
        <v>156</v>
      </c>
      <c r="C18" s="196"/>
      <c r="D18" s="196"/>
      <c r="E18" s="195"/>
      <c r="F18" s="104"/>
      <c r="G18" s="104"/>
      <c r="H18" s="194" t="s">
        <v>157</v>
      </c>
      <c r="I18" s="196"/>
      <c r="J18" s="196"/>
      <c r="K18" s="195"/>
      <c r="L18" s="104"/>
      <c r="M18" s="104"/>
      <c r="N18" s="104"/>
      <c r="O18" s="102"/>
      <c r="P18" s="194" t="s">
        <v>156</v>
      </c>
      <c r="Q18" s="196"/>
      <c r="R18" s="196"/>
      <c r="S18" s="195"/>
      <c r="T18" s="104"/>
      <c r="U18" s="104"/>
      <c r="V18" s="194" t="s">
        <v>157</v>
      </c>
      <c r="W18" s="196"/>
      <c r="X18" s="196"/>
      <c r="Y18" s="195"/>
      <c r="Z18" s="104"/>
      <c r="AA18" s="104"/>
      <c r="AB18" s="104"/>
    </row>
    <row r="19" spans="1:28" x14ac:dyDescent="0.25">
      <c r="A19" s="102"/>
      <c r="B19" s="107">
        <v>85</v>
      </c>
      <c r="C19" s="107">
        <v>82</v>
      </c>
      <c r="D19" s="104"/>
      <c r="E19" s="104"/>
      <c r="F19" s="104"/>
      <c r="G19" s="104"/>
      <c r="H19" s="107">
        <v>4</v>
      </c>
      <c r="I19" s="107">
        <v>4.5</v>
      </c>
      <c r="J19" s="104"/>
      <c r="K19" s="104"/>
      <c r="L19" s="104"/>
      <c r="M19" s="104"/>
      <c r="N19" s="104"/>
      <c r="O19" s="102"/>
      <c r="P19" s="107">
        <v>86</v>
      </c>
      <c r="Q19" s="107">
        <v>82</v>
      </c>
      <c r="R19" s="104"/>
      <c r="S19" s="104"/>
      <c r="T19" s="104"/>
      <c r="U19" s="104"/>
      <c r="V19" s="107">
        <v>4</v>
      </c>
      <c r="W19" s="107">
        <v>4.2</v>
      </c>
      <c r="X19" s="104"/>
      <c r="Y19" s="104"/>
      <c r="Z19" s="104"/>
      <c r="AA19" s="104"/>
      <c r="AB19" s="104"/>
    </row>
    <row r="20" spans="1:28" x14ac:dyDescent="0.25">
      <c r="A20" s="102"/>
      <c r="B20" s="194" t="s">
        <v>158</v>
      </c>
      <c r="C20" s="196"/>
      <c r="D20" s="196"/>
      <c r="E20" s="195"/>
      <c r="F20" s="104"/>
      <c r="G20" s="104"/>
      <c r="H20" s="194" t="s">
        <v>159</v>
      </c>
      <c r="I20" s="196"/>
      <c r="J20" s="196"/>
      <c r="K20" s="195"/>
      <c r="L20" s="104"/>
      <c r="M20" s="104"/>
      <c r="N20" s="104"/>
      <c r="O20" s="102"/>
      <c r="P20" s="194" t="s">
        <v>158</v>
      </c>
      <c r="Q20" s="196"/>
      <c r="R20" s="196"/>
      <c r="S20" s="195"/>
      <c r="T20" s="104"/>
      <c r="U20" s="104"/>
      <c r="V20" s="194" t="s">
        <v>159</v>
      </c>
      <c r="W20" s="196"/>
      <c r="X20" s="196"/>
      <c r="Y20" s="195"/>
      <c r="Z20" s="104"/>
      <c r="AA20" s="104"/>
      <c r="AB20" s="104"/>
    </row>
    <row r="21" spans="1:28" x14ac:dyDescent="0.25">
      <c r="A21" s="102"/>
      <c r="B21" s="107">
        <v>32</v>
      </c>
      <c r="C21" s="107">
        <v>34</v>
      </c>
      <c r="D21" s="104"/>
      <c r="E21" s="104"/>
      <c r="F21" s="104"/>
      <c r="G21" s="104"/>
      <c r="H21" s="107">
        <v>48</v>
      </c>
      <c r="I21" s="107">
        <v>50</v>
      </c>
      <c r="J21" s="104"/>
      <c r="K21" s="104"/>
      <c r="L21" s="104"/>
      <c r="M21" s="104"/>
      <c r="N21" s="104"/>
      <c r="O21" s="102"/>
      <c r="P21" s="107">
        <v>32</v>
      </c>
      <c r="Q21" s="107">
        <v>35</v>
      </c>
      <c r="R21" s="104"/>
      <c r="S21" s="104"/>
      <c r="T21" s="104"/>
      <c r="U21" s="104"/>
      <c r="V21" s="107">
        <v>49</v>
      </c>
      <c r="W21" s="107">
        <v>50</v>
      </c>
      <c r="X21" s="104"/>
      <c r="Y21" s="104"/>
      <c r="Z21" s="104"/>
      <c r="AA21" s="104"/>
      <c r="AB21" s="104"/>
    </row>
    <row r="22" spans="1:28" x14ac:dyDescent="0.25">
      <c r="A22" s="102"/>
      <c r="B22" s="102"/>
      <c r="C22" s="102"/>
      <c r="D22" s="102"/>
      <c r="E22" s="102"/>
      <c r="F22" s="102"/>
      <c r="G22" s="102"/>
      <c r="H22" s="102"/>
      <c r="I22" s="102"/>
      <c r="J22" s="102"/>
      <c r="K22" s="102"/>
      <c r="L22" s="102"/>
      <c r="M22" s="102"/>
      <c r="N22" s="102"/>
      <c r="O22" s="102"/>
      <c r="P22" s="102"/>
      <c r="Q22" s="102"/>
      <c r="R22" s="102"/>
      <c r="S22" s="102"/>
      <c r="T22" s="102"/>
      <c r="U22" s="102"/>
      <c r="V22" s="102"/>
      <c r="W22" s="102"/>
      <c r="X22" s="102"/>
      <c r="Y22" s="102"/>
      <c r="Z22" s="102"/>
      <c r="AA22" s="102"/>
      <c r="AB22" s="102"/>
    </row>
    <row r="23" spans="1:28" x14ac:dyDescent="0.25">
      <c r="A23" s="102"/>
      <c r="B23" s="197" t="s">
        <v>160</v>
      </c>
      <c r="C23" s="198"/>
      <c r="D23" s="198"/>
      <c r="E23" s="198"/>
      <c r="F23" s="198"/>
      <c r="G23" s="198"/>
      <c r="H23" s="198"/>
      <c r="I23" s="198"/>
      <c r="J23" s="198"/>
      <c r="K23" s="198"/>
      <c r="L23" s="198"/>
      <c r="M23" s="198"/>
      <c r="N23" s="198"/>
      <c r="O23" s="102"/>
      <c r="P23" s="197" t="s">
        <v>161</v>
      </c>
      <c r="Q23" s="198"/>
      <c r="R23" s="198"/>
      <c r="S23" s="198"/>
      <c r="T23" s="198"/>
      <c r="U23" s="198"/>
      <c r="V23" s="198"/>
      <c r="W23" s="198"/>
      <c r="X23" s="198"/>
      <c r="Y23" s="198"/>
      <c r="Z23" s="198"/>
      <c r="AA23" s="198"/>
      <c r="AB23" s="198"/>
    </row>
    <row r="24" spans="1:28" x14ac:dyDescent="0.25">
      <c r="A24" s="102"/>
      <c r="B24" s="194" t="s">
        <v>133</v>
      </c>
      <c r="C24" s="196"/>
      <c r="D24" s="195"/>
      <c r="E24" s="104"/>
      <c r="F24" s="104"/>
      <c r="G24" s="104"/>
      <c r="H24" s="104"/>
      <c r="I24" s="104"/>
      <c r="J24" s="104"/>
      <c r="K24" s="104"/>
      <c r="L24" s="104"/>
      <c r="M24" s="104"/>
      <c r="N24" s="104"/>
      <c r="O24" s="102"/>
      <c r="P24" s="201" t="s">
        <v>133</v>
      </c>
      <c r="Q24" s="202"/>
      <c r="R24" s="203"/>
      <c r="S24" s="104"/>
      <c r="T24" s="104"/>
      <c r="U24" s="104"/>
      <c r="V24" s="104"/>
      <c r="W24" s="104"/>
      <c r="X24" s="104"/>
      <c r="Y24" s="104"/>
      <c r="Z24" s="104"/>
      <c r="AA24" s="104"/>
      <c r="AB24" s="104"/>
    </row>
    <row r="25" spans="1:28" x14ac:dyDescent="0.25">
      <c r="A25" s="102"/>
      <c r="B25" s="107" t="s">
        <v>162</v>
      </c>
      <c r="C25" s="107" t="s">
        <v>163</v>
      </c>
      <c r="D25" s="107" t="s">
        <v>164</v>
      </c>
      <c r="E25" s="107" t="s">
        <v>165</v>
      </c>
      <c r="F25" s="107" t="s">
        <v>166</v>
      </c>
      <c r="G25" s="107" t="s">
        <v>167</v>
      </c>
      <c r="H25" s="107" t="s">
        <v>168</v>
      </c>
      <c r="I25" s="107" t="s">
        <v>169</v>
      </c>
      <c r="J25" s="107" t="s">
        <v>170</v>
      </c>
      <c r="K25" s="107" t="s">
        <v>171</v>
      </c>
      <c r="L25" s="107" t="s">
        <v>172</v>
      </c>
      <c r="M25" s="107" t="s">
        <v>173</v>
      </c>
      <c r="N25" s="106" t="s">
        <v>146</v>
      </c>
      <c r="O25" s="102"/>
      <c r="P25" s="107" t="s">
        <v>162</v>
      </c>
      <c r="Q25" s="107" t="s">
        <v>163</v>
      </c>
      <c r="R25" s="107" t="s">
        <v>164</v>
      </c>
      <c r="S25" s="107" t="s">
        <v>165</v>
      </c>
      <c r="T25" s="107" t="s">
        <v>166</v>
      </c>
      <c r="U25" s="107" t="s">
        <v>167</v>
      </c>
      <c r="V25" s="107" t="s">
        <v>168</v>
      </c>
      <c r="W25" s="107" t="s">
        <v>169</v>
      </c>
      <c r="X25" s="107" t="s">
        <v>170</v>
      </c>
      <c r="Y25" s="107" t="s">
        <v>171</v>
      </c>
      <c r="Z25" s="107" t="s">
        <v>172</v>
      </c>
      <c r="AA25" s="107" t="s">
        <v>173</v>
      </c>
      <c r="AB25" s="107" t="s">
        <v>146</v>
      </c>
    </row>
    <row r="26" spans="1:28" x14ac:dyDescent="0.25">
      <c r="A26" s="102"/>
      <c r="B26" s="107"/>
      <c r="C26" s="107"/>
      <c r="D26" s="107"/>
      <c r="E26" s="107"/>
      <c r="F26" s="107"/>
      <c r="G26" s="107"/>
      <c r="H26" s="107" t="s">
        <v>97</v>
      </c>
      <c r="I26" s="107" t="s">
        <v>97</v>
      </c>
      <c r="J26" s="107" t="s">
        <v>97</v>
      </c>
      <c r="K26" s="107" t="s">
        <v>97</v>
      </c>
      <c r="L26" s="107" t="s">
        <v>97</v>
      </c>
      <c r="M26" s="107" t="s">
        <v>97</v>
      </c>
      <c r="N26" s="110" t="s">
        <v>209</v>
      </c>
      <c r="O26" s="102"/>
      <c r="P26" s="107">
        <v>339</v>
      </c>
      <c r="Q26" s="107">
        <v>345</v>
      </c>
      <c r="R26" s="107">
        <v>339</v>
      </c>
      <c r="S26" s="107">
        <v>331</v>
      </c>
      <c r="T26" s="107">
        <v>336</v>
      </c>
      <c r="U26" s="107">
        <v>341</v>
      </c>
      <c r="V26" s="107" t="s">
        <v>97</v>
      </c>
      <c r="W26" s="107" t="s">
        <v>97</v>
      </c>
      <c r="X26" s="107" t="s">
        <v>97</v>
      </c>
      <c r="Y26" s="107" t="s">
        <v>97</v>
      </c>
      <c r="Z26" s="107" t="s">
        <v>97</v>
      </c>
      <c r="AA26" s="107" t="s">
        <v>97</v>
      </c>
      <c r="AB26" s="110" t="s">
        <v>200</v>
      </c>
    </row>
    <row r="27" spans="1:28" x14ac:dyDescent="0.25">
      <c r="A27" s="102"/>
      <c r="B27" s="194" t="s">
        <v>174</v>
      </c>
      <c r="C27" s="195"/>
      <c r="D27" s="104"/>
      <c r="E27" s="104"/>
      <c r="F27" s="104"/>
      <c r="G27" s="104"/>
      <c r="H27" s="107" t="s">
        <v>175</v>
      </c>
      <c r="I27" s="104"/>
      <c r="J27" s="104"/>
      <c r="K27" s="104"/>
      <c r="L27" s="104"/>
      <c r="M27" s="104"/>
      <c r="N27" s="104"/>
      <c r="O27" s="102"/>
      <c r="P27" s="194" t="s">
        <v>174</v>
      </c>
      <c r="Q27" s="195"/>
      <c r="R27" s="104"/>
      <c r="S27" s="104"/>
      <c r="T27" s="104"/>
      <c r="U27" s="104"/>
      <c r="V27" s="107" t="s">
        <v>175</v>
      </c>
      <c r="W27" s="104"/>
      <c r="X27" s="104"/>
      <c r="Y27" s="104"/>
      <c r="Z27" s="104"/>
      <c r="AA27" s="104"/>
      <c r="AB27" s="104"/>
    </row>
    <row r="28" spans="1:28" x14ac:dyDescent="0.25">
      <c r="A28" s="102"/>
      <c r="B28" s="194" t="s">
        <v>176</v>
      </c>
      <c r="C28" s="195"/>
      <c r="D28" s="194" t="s">
        <v>177</v>
      </c>
      <c r="E28" s="195"/>
      <c r="F28" s="104"/>
      <c r="G28" s="104"/>
      <c r="H28" s="194" t="s">
        <v>149</v>
      </c>
      <c r="I28" s="196"/>
      <c r="J28" s="196"/>
      <c r="K28" s="195"/>
      <c r="L28" s="104"/>
      <c r="M28" s="104"/>
      <c r="N28" s="104"/>
      <c r="O28" s="102"/>
      <c r="P28" s="201" t="s">
        <v>176</v>
      </c>
      <c r="Q28" s="203"/>
      <c r="R28" s="194" t="s">
        <v>177</v>
      </c>
      <c r="S28" s="195"/>
      <c r="T28" s="104"/>
      <c r="U28" s="104"/>
      <c r="V28" s="194" t="s">
        <v>149</v>
      </c>
      <c r="W28" s="196"/>
      <c r="X28" s="196"/>
      <c r="Y28" s="195"/>
      <c r="Z28" s="104"/>
      <c r="AA28" s="104"/>
      <c r="AB28" s="104"/>
    </row>
    <row r="29" spans="1:28" x14ac:dyDescent="0.25">
      <c r="A29" s="102"/>
      <c r="B29" s="107"/>
      <c r="C29" s="104"/>
      <c r="D29" s="107"/>
      <c r="E29" s="104"/>
      <c r="F29" s="104"/>
      <c r="G29" s="104"/>
      <c r="H29" s="107"/>
      <c r="I29" s="107"/>
      <c r="J29" s="104"/>
      <c r="K29" s="104"/>
      <c r="L29" s="104"/>
      <c r="M29" s="104"/>
      <c r="N29" s="104"/>
      <c r="O29" s="102"/>
      <c r="P29" s="107">
        <v>46</v>
      </c>
      <c r="Q29" s="104"/>
      <c r="R29" s="107">
        <v>45</v>
      </c>
      <c r="S29" s="104"/>
      <c r="T29" s="104"/>
      <c r="U29" s="104"/>
      <c r="V29" s="107">
        <v>410</v>
      </c>
      <c r="W29" s="107">
        <v>315</v>
      </c>
      <c r="X29" s="104"/>
      <c r="Y29" s="104"/>
      <c r="Z29" s="104"/>
      <c r="AA29" s="104"/>
      <c r="AB29" s="104"/>
    </row>
    <row r="30" spans="1:28" x14ac:dyDescent="0.25">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c r="AA30" s="102"/>
      <c r="AB30" s="102"/>
    </row>
    <row r="31" spans="1:28" x14ac:dyDescent="0.25">
      <c r="A31" s="102"/>
      <c r="B31" s="197" t="s">
        <v>97</v>
      </c>
      <c r="C31" s="198"/>
      <c r="D31" s="198"/>
      <c r="E31" s="198"/>
      <c r="F31" s="198"/>
      <c r="G31" s="198"/>
      <c r="H31" s="198"/>
      <c r="I31" s="198"/>
      <c r="J31" s="198"/>
      <c r="K31" s="198"/>
      <c r="L31" s="198"/>
      <c r="M31" s="198"/>
      <c r="N31" s="198"/>
      <c r="O31" s="102"/>
      <c r="P31" s="197" t="s">
        <v>178</v>
      </c>
      <c r="Q31" s="198"/>
      <c r="R31" s="198"/>
      <c r="S31" s="198"/>
      <c r="T31" s="103"/>
      <c r="U31" s="197" t="s">
        <v>179</v>
      </c>
      <c r="V31" s="198"/>
      <c r="W31" s="198"/>
      <c r="X31" s="198"/>
      <c r="Y31" s="102"/>
      <c r="Z31" s="102"/>
      <c r="AA31" s="102"/>
      <c r="AB31" s="102"/>
    </row>
    <row r="32" spans="1:28" x14ac:dyDescent="0.25">
      <c r="A32" s="102"/>
      <c r="B32" s="194" t="s">
        <v>133</v>
      </c>
      <c r="C32" s="196"/>
      <c r="D32" s="195"/>
      <c r="E32" s="104"/>
      <c r="F32" s="104"/>
      <c r="G32" s="104"/>
      <c r="H32" s="104"/>
      <c r="I32" s="104"/>
      <c r="J32" s="104"/>
      <c r="K32" s="104"/>
      <c r="L32" s="104"/>
      <c r="M32" s="104"/>
      <c r="N32" s="104"/>
      <c r="O32" s="102"/>
      <c r="P32" s="194" t="s">
        <v>176</v>
      </c>
      <c r="Q32" s="195"/>
      <c r="R32" s="194" t="s">
        <v>177</v>
      </c>
      <c r="S32" s="195"/>
      <c r="T32" s="103"/>
      <c r="U32" s="194" t="s">
        <v>176</v>
      </c>
      <c r="V32" s="195"/>
      <c r="W32" s="194" t="s">
        <v>177</v>
      </c>
      <c r="X32" s="195"/>
      <c r="Y32" s="102"/>
      <c r="Z32" s="102"/>
      <c r="AA32" s="102"/>
      <c r="AB32" s="102"/>
    </row>
    <row r="33" spans="1:28" x14ac:dyDescent="0.25">
      <c r="A33" s="102"/>
      <c r="B33" s="107" t="s">
        <v>162</v>
      </c>
      <c r="C33" s="107" t="s">
        <v>163</v>
      </c>
      <c r="D33" s="107" t="s">
        <v>164</v>
      </c>
      <c r="E33" s="107" t="s">
        <v>165</v>
      </c>
      <c r="F33" s="107" t="s">
        <v>166</v>
      </c>
      <c r="G33" s="107" t="s">
        <v>167</v>
      </c>
      <c r="H33" s="107" t="s">
        <v>168</v>
      </c>
      <c r="I33" s="107" t="s">
        <v>169</v>
      </c>
      <c r="J33" s="107" t="s">
        <v>170</v>
      </c>
      <c r="K33" s="107" t="s">
        <v>171</v>
      </c>
      <c r="L33" s="107" t="s">
        <v>172</v>
      </c>
      <c r="M33" s="107" t="s">
        <v>173</v>
      </c>
      <c r="N33" s="106" t="s">
        <v>146</v>
      </c>
      <c r="O33" s="102"/>
      <c r="P33" s="107">
        <v>44</v>
      </c>
      <c r="Q33" s="104"/>
      <c r="R33" s="107">
        <v>46</v>
      </c>
      <c r="S33" s="104"/>
      <c r="T33" s="103"/>
      <c r="U33" s="107">
        <v>44</v>
      </c>
      <c r="V33" s="104"/>
      <c r="W33" s="107">
        <v>47</v>
      </c>
      <c r="X33" s="104"/>
      <c r="Y33" s="102"/>
      <c r="Z33" s="102"/>
      <c r="AA33" s="102"/>
      <c r="AB33" s="102"/>
    </row>
    <row r="34" spans="1:28" x14ac:dyDescent="0.25">
      <c r="A34" s="102"/>
      <c r="B34" s="107" t="s">
        <v>97</v>
      </c>
      <c r="C34" s="107" t="s">
        <v>97</v>
      </c>
      <c r="D34" s="107" t="s">
        <v>97</v>
      </c>
      <c r="E34" s="107" t="s">
        <v>97</v>
      </c>
      <c r="F34" s="107" t="s">
        <v>97</v>
      </c>
      <c r="G34" s="107" t="s">
        <v>97</v>
      </c>
      <c r="H34" s="107" t="s">
        <v>97</v>
      </c>
      <c r="I34" s="107" t="s">
        <v>97</v>
      </c>
      <c r="J34" s="107" t="s">
        <v>97</v>
      </c>
      <c r="K34" s="107" t="s">
        <v>97</v>
      </c>
      <c r="L34" s="107" t="s">
        <v>97</v>
      </c>
      <c r="M34" s="107" t="s">
        <v>97</v>
      </c>
      <c r="N34" s="110" t="s">
        <v>197</v>
      </c>
      <c r="O34" s="102"/>
      <c r="P34" s="107" t="s">
        <v>97</v>
      </c>
      <c r="Q34" s="104"/>
      <c r="R34" s="107" t="s">
        <v>97</v>
      </c>
      <c r="S34" s="104"/>
      <c r="T34" s="103"/>
      <c r="U34" s="107" t="s">
        <v>97</v>
      </c>
      <c r="V34" s="104"/>
      <c r="W34" s="107" t="s">
        <v>97</v>
      </c>
      <c r="X34" s="104"/>
      <c r="Y34" s="102"/>
      <c r="Z34" s="102"/>
      <c r="AA34" s="102"/>
      <c r="AB34" s="102"/>
    </row>
    <row r="35" spans="1:28" x14ac:dyDescent="0.25">
      <c r="A35" s="102"/>
      <c r="B35" s="194" t="s">
        <v>174</v>
      </c>
      <c r="C35" s="195"/>
      <c r="D35" s="104"/>
      <c r="E35" s="104"/>
      <c r="F35" s="104"/>
      <c r="G35" s="104"/>
      <c r="H35" s="104"/>
      <c r="I35" s="104"/>
      <c r="J35" s="104"/>
      <c r="K35" s="104"/>
      <c r="L35" s="104"/>
      <c r="M35" s="104"/>
      <c r="N35" s="104"/>
      <c r="O35" s="102"/>
      <c r="P35" s="102"/>
      <c r="Q35" s="102"/>
      <c r="R35" s="102"/>
      <c r="S35" s="102"/>
      <c r="T35" s="102"/>
      <c r="U35" s="102"/>
      <c r="V35" s="102"/>
      <c r="W35" s="102"/>
      <c r="X35" s="102"/>
      <c r="Y35" s="102"/>
      <c r="Z35" s="102"/>
      <c r="AA35" s="102"/>
      <c r="AB35" s="102"/>
    </row>
    <row r="36" spans="1:28" x14ac:dyDescent="0.25">
      <c r="A36" s="102"/>
      <c r="B36" s="194" t="s">
        <v>176</v>
      </c>
      <c r="C36" s="195"/>
      <c r="D36" s="194" t="s">
        <v>177</v>
      </c>
      <c r="E36" s="195"/>
      <c r="F36" s="104"/>
      <c r="G36" s="104"/>
      <c r="H36" s="104"/>
      <c r="I36" s="104"/>
      <c r="J36" s="104"/>
      <c r="K36" s="104"/>
      <c r="L36" s="104"/>
      <c r="M36" s="104"/>
      <c r="N36" s="104"/>
      <c r="O36" s="102"/>
      <c r="P36" s="102"/>
      <c r="Q36" s="102"/>
      <c r="R36" s="102"/>
      <c r="S36" s="102"/>
      <c r="T36" s="102"/>
      <c r="U36" s="102"/>
      <c r="V36" s="102"/>
      <c r="W36" s="102"/>
      <c r="X36" s="102"/>
      <c r="Y36" s="102"/>
      <c r="Z36" s="102"/>
      <c r="AA36" s="102"/>
      <c r="AB36" s="102"/>
    </row>
    <row r="37" spans="1:28" x14ac:dyDescent="0.25">
      <c r="A37" s="102"/>
      <c r="B37" s="107" t="s">
        <v>97</v>
      </c>
      <c r="C37" s="104"/>
      <c r="D37" s="107" t="s">
        <v>97</v>
      </c>
      <c r="E37" s="104"/>
      <c r="F37" s="104"/>
      <c r="G37" s="104"/>
      <c r="H37" s="104"/>
      <c r="I37" s="104"/>
      <c r="J37" s="104"/>
      <c r="K37" s="104"/>
      <c r="L37" s="104"/>
      <c r="M37" s="104"/>
      <c r="N37" s="104"/>
      <c r="O37" s="102"/>
      <c r="P37" s="102"/>
      <c r="Q37" s="102"/>
      <c r="R37" s="102"/>
      <c r="S37" s="102"/>
      <c r="T37" s="102"/>
      <c r="U37" s="102"/>
      <c r="V37" s="102"/>
      <c r="W37" s="102"/>
      <c r="X37" s="102"/>
      <c r="Y37" s="102"/>
      <c r="Z37" s="102"/>
      <c r="AA37" s="102"/>
      <c r="AB37" s="102"/>
    </row>
    <row r="38" spans="1:28" x14ac:dyDescent="0.25">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c r="AA38" s="102"/>
      <c r="AB38" s="102"/>
    </row>
    <row r="39" spans="1:28" x14ac:dyDescent="0.25">
      <c r="A39" s="102"/>
      <c r="B39" s="197" t="s">
        <v>180</v>
      </c>
      <c r="C39" s="198"/>
      <c r="D39" s="198"/>
      <c r="E39" s="198"/>
      <c r="F39" s="198"/>
      <c r="G39" s="198"/>
      <c r="H39" s="198"/>
      <c r="I39" s="198"/>
      <c r="J39" s="102"/>
      <c r="K39" s="102"/>
      <c r="L39" s="102"/>
      <c r="M39" s="102"/>
      <c r="N39" s="102"/>
      <c r="O39" s="102"/>
      <c r="P39" s="102"/>
      <c r="Q39" s="102"/>
      <c r="R39" s="102"/>
      <c r="S39" s="102"/>
      <c r="T39" s="102"/>
      <c r="U39" s="102"/>
      <c r="V39" s="102"/>
      <c r="W39" s="102"/>
      <c r="X39" s="102"/>
      <c r="Y39" s="102"/>
      <c r="Z39" s="102"/>
      <c r="AA39" s="102"/>
      <c r="AB39" s="102"/>
    </row>
    <row r="40" spans="1:28" x14ac:dyDescent="0.25">
      <c r="A40" s="102"/>
      <c r="B40" s="194" t="s">
        <v>181</v>
      </c>
      <c r="C40" s="195"/>
      <c r="D40" s="107">
        <v>40</v>
      </c>
      <c r="E40" s="104"/>
      <c r="F40" s="194" t="s">
        <v>182</v>
      </c>
      <c r="G40" s="196"/>
      <c r="H40" s="195"/>
      <c r="I40" s="107">
        <v>40</v>
      </c>
      <c r="J40" s="102"/>
      <c r="K40" s="102"/>
      <c r="L40" s="102"/>
      <c r="M40" s="102"/>
      <c r="N40" s="102"/>
      <c r="O40" s="102"/>
      <c r="P40" s="102"/>
      <c r="Q40" s="102"/>
      <c r="R40" s="102"/>
      <c r="S40" s="102"/>
      <c r="T40" s="102"/>
      <c r="U40" s="102"/>
      <c r="V40" s="102"/>
      <c r="W40" s="102"/>
      <c r="X40" s="102"/>
      <c r="Y40" s="102"/>
      <c r="Z40" s="102"/>
      <c r="AA40" s="102"/>
      <c r="AB40" s="102"/>
    </row>
    <row r="41" spans="1:28" x14ac:dyDescent="0.25">
      <c r="A41" s="102"/>
      <c r="B41" s="194" t="s">
        <v>183</v>
      </c>
      <c r="C41" s="195"/>
      <c r="D41" s="107">
        <v>39</v>
      </c>
      <c r="E41" s="104"/>
      <c r="F41" s="194" t="s">
        <v>184</v>
      </c>
      <c r="G41" s="196"/>
      <c r="H41" s="195"/>
      <c r="I41" s="107">
        <v>38</v>
      </c>
      <c r="J41" s="102"/>
      <c r="K41" s="102"/>
      <c r="L41" s="102"/>
      <c r="M41" s="102"/>
      <c r="N41" s="102"/>
      <c r="O41" s="102"/>
      <c r="P41" s="102"/>
      <c r="Q41" s="102"/>
      <c r="R41" s="102"/>
      <c r="S41" s="102"/>
      <c r="T41" s="102"/>
      <c r="U41" s="102"/>
      <c r="V41" s="102"/>
      <c r="W41" s="102"/>
      <c r="X41" s="102"/>
      <c r="Y41" s="102"/>
      <c r="Z41" s="102"/>
      <c r="AA41" s="102"/>
      <c r="AB41" s="102"/>
    </row>
  </sheetData>
  <mergeCells count="59">
    <mergeCell ref="B16:C16"/>
    <mergeCell ref="B18:E18"/>
    <mergeCell ref="P14:T14"/>
    <mergeCell ref="P16:Q16"/>
    <mergeCell ref="H16:I16"/>
    <mergeCell ref="P31:S31"/>
    <mergeCell ref="R28:S28"/>
    <mergeCell ref="R32:S32"/>
    <mergeCell ref="P27:Q27"/>
    <mergeCell ref="J4:K4"/>
    <mergeCell ref="P4:Q4"/>
    <mergeCell ref="R4:S4"/>
    <mergeCell ref="P6:R6"/>
    <mergeCell ref="P10:S10"/>
    <mergeCell ref="B1:C1"/>
    <mergeCell ref="B3:N3"/>
    <mergeCell ref="P3:AB3"/>
    <mergeCell ref="B4:C4"/>
    <mergeCell ref="D4:E4"/>
    <mergeCell ref="G4:H4"/>
    <mergeCell ref="V28:Y28"/>
    <mergeCell ref="V16:W16"/>
    <mergeCell ref="V18:Y18"/>
    <mergeCell ref="P18:S18"/>
    <mergeCell ref="P20:S20"/>
    <mergeCell ref="V20:Y20"/>
    <mergeCell ref="P28:Q28"/>
    <mergeCell ref="W32:X32"/>
    <mergeCell ref="B40:C40"/>
    <mergeCell ref="F40:H40"/>
    <mergeCell ref="X4:Y4"/>
    <mergeCell ref="U4:V4"/>
    <mergeCell ref="V10:Y10"/>
    <mergeCell ref="B20:E20"/>
    <mergeCell ref="H20:K20"/>
    <mergeCell ref="U31:X31"/>
    <mergeCell ref="P32:Q32"/>
    <mergeCell ref="U32:V32"/>
    <mergeCell ref="P24:R24"/>
    <mergeCell ref="B23:N23"/>
    <mergeCell ref="P23:AB23"/>
    <mergeCell ref="B24:D24"/>
    <mergeCell ref="B28:C28"/>
    <mergeCell ref="B41:C41"/>
    <mergeCell ref="F41:H41"/>
    <mergeCell ref="B32:D32"/>
    <mergeCell ref="B6:D6"/>
    <mergeCell ref="B10:E10"/>
    <mergeCell ref="H10:K10"/>
    <mergeCell ref="B14:F14"/>
    <mergeCell ref="H18:K18"/>
    <mergeCell ref="B36:C36"/>
    <mergeCell ref="B39:I39"/>
    <mergeCell ref="B35:C35"/>
    <mergeCell ref="D36:E36"/>
    <mergeCell ref="B31:N31"/>
    <mergeCell ref="B27:C27"/>
    <mergeCell ref="D28:E28"/>
    <mergeCell ref="H28:K28"/>
  </mergeCells>
  <pageMargins left="0.25" right="0.25" top="0.75" bottom="0.75" header="0.3" footer="0.3"/>
  <pageSetup paperSize="9" scale="81" fitToWidth="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DF7F6-D44B-4245-9B47-9653B486A704}">
  <dimension ref="B3:AK27"/>
  <sheetViews>
    <sheetView zoomScaleNormal="100" workbookViewId="0">
      <selection activeCell="AH12" sqref="AH12"/>
    </sheetView>
  </sheetViews>
  <sheetFormatPr defaultRowHeight="15" x14ac:dyDescent="0.25"/>
  <cols>
    <col min="1" max="3" width="9.140625" style="31"/>
    <col min="4" max="4" width="27" style="31" customWidth="1"/>
    <col min="5" max="5" width="6" style="31" customWidth="1"/>
    <col min="6" max="6" width="6.140625" style="31" customWidth="1"/>
    <col min="7" max="7" width="6" style="31" customWidth="1"/>
    <col min="8" max="8" width="5.85546875" style="31" customWidth="1"/>
    <col min="9" max="9" width="6.140625" style="31" customWidth="1"/>
    <col min="10" max="11" width="5.85546875" style="31" customWidth="1"/>
    <col min="12" max="12" width="6" style="31" customWidth="1"/>
    <col min="13" max="13" width="5.85546875" style="31" customWidth="1"/>
    <col min="14" max="15" width="6" style="31" customWidth="1"/>
    <col min="16" max="16" width="6.28515625" style="31" customWidth="1"/>
    <col min="17" max="17" width="5.5703125" style="31" customWidth="1"/>
    <col min="18" max="18" width="5.7109375" style="31" customWidth="1"/>
    <col min="19" max="19" width="5.85546875" style="31" customWidth="1"/>
    <col min="20" max="21" width="6" style="31" customWidth="1"/>
    <col min="22" max="22" width="5.85546875" style="31" customWidth="1"/>
    <col min="23" max="23" width="5.42578125" style="31" customWidth="1"/>
    <col min="24" max="24" width="6" style="31" customWidth="1"/>
    <col min="25" max="25" width="5.85546875" style="31" customWidth="1"/>
    <col min="26" max="26" width="5.5703125" style="31" customWidth="1"/>
    <col min="27" max="27" width="6.140625" style="31" customWidth="1"/>
    <col min="28" max="28" width="5.85546875" style="31" customWidth="1"/>
    <col min="29" max="29" width="6.140625" style="31" customWidth="1"/>
    <col min="30" max="31" width="5.42578125" style="31" customWidth="1"/>
    <col min="32" max="32" width="5.7109375" style="31" customWidth="1"/>
    <col min="33" max="33" width="5.5703125" style="31" customWidth="1"/>
    <col min="34" max="34" width="5.42578125" style="31" customWidth="1"/>
    <col min="35" max="35" width="5.5703125" style="31" customWidth="1"/>
    <col min="36" max="36" width="9.140625" style="31"/>
    <col min="37" max="37" width="11.140625" style="31" bestFit="1" customWidth="1"/>
    <col min="38" max="16384" width="9.140625" style="31"/>
  </cols>
  <sheetData>
    <row r="3" spans="2:37" ht="26.25" x14ac:dyDescent="0.25">
      <c r="C3" s="206" t="s">
        <v>98</v>
      </c>
      <c r="D3" s="206"/>
      <c r="E3" s="206"/>
      <c r="F3" s="206"/>
      <c r="G3" s="206"/>
      <c r="H3" s="206"/>
      <c r="I3" s="206"/>
      <c r="J3" s="206"/>
      <c r="K3" s="206"/>
      <c r="L3" s="206"/>
      <c r="M3" s="206"/>
      <c r="N3" s="206"/>
      <c r="O3" s="206"/>
      <c r="P3" s="206"/>
      <c r="Q3" s="206"/>
      <c r="R3" s="206"/>
      <c r="S3" s="206"/>
      <c r="T3" s="206"/>
      <c r="U3" s="206" t="s">
        <v>99</v>
      </c>
      <c r="V3" s="206"/>
      <c r="W3" s="206"/>
      <c r="X3" s="206"/>
      <c r="Y3" s="206"/>
      <c r="Z3" s="206"/>
      <c r="AA3" s="206"/>
      <c r="AB3" s="206" t="s">
        <v>212</v>
      </c>
      <c r="AC3" s="206"/>
      <c r="AD3" s="206"/>
      <c r="AE3" s="206"/>
      <c r="AF3" s="206"/>
      <c r="AG3" s="206"/>
      <c r="AH3" s="206"/>
      <c r="AI3" s="206"/>
      <c r="AJ3" s="206"/>
    </row>
    <row r="4" spans="2:37" ht="15.75" thickBot="1" x14ac:dyDescent="0.3">
      <c r="E4" s="207" t="s">
        <v>100</v>
      </c>
      <c r="F4" s="207"/>
      <c r="G4" s="207"/>
      <c r="H4" s="207"/>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row>
    <row r="5" spans="2:37" ht="19.5" thickBot="1" x14ac:dyDescent="0.3">
      <c r="B5" s="77" t="s">
        <v>101</v>
      </c>
      <c r="C5" s="208" t="s">
        <v>102</v>
      </c>
      <c r="D5" s="208"/>
      <c r="E5" s="78">
        <v>1</v>
      </c>
      <c r="F5" s="78">
        <v>2</v>
      </c>
      <c r="G5" s="78">
        <v>3</v>
      </c>
      <c r="H5" s="78">
        <v>4</v>
      </c>
      <c r="I5" s="78">
        <v>5</v>
      </c>
      <c r="J5" s="78">
        <v>6</v>
      </c>
      <c r="K5" s="78">
        <v>7</v>
      </c>
      <c r="L5" s="78">
        <v>8</v>
      </c>
      <c r="M5" s="78">
        <v>9</v>
      </c>
      <c r="N5" s="78">
        <v>10</v>
      </c>
      <c r="O5" s="78">
        <v>11</v>
      </c>
      <c r="P5" s="78">
        <v>12</v>
      </c>
      <c r="Q5" s="78">
        <v>13</v>
      </c>
      <c r="R5" s="78">
        <v>14</v>
      </c>
      <c r="S5" s="78">
        <v>15</v>
      </c>
      <c r="T5" s="78">
        <v>16</v>
      </c>
      <c r="U5" s="78">
        <v>17</v>
      </c>
      <c r="V5" s="78">
        <v>18</v>
      </c>
      <c r="W5" s="78">
        <v>19</v>
      </c>
      <c r="X5" s="78">
        <v>20</v>
      </c>
      <c r="Y5" s="78">
        <v>21</v>
      </c>
      <c r="Z5" s="78">
        <v>22</v>
      </c>
      <c r="AA5" s="78">
        <v>23</v>
      </c>
      <c r="AB5" s="78">
        <v>24</v>
      </c>
      <c r="AC5" s="78">
        <v>25</v>
      </c>
      <c r="AD5" s="78">
        <v>26</v>
      </c>
      <c r="AE5" s="78">
        <v>27</v>
      </c>
      <c r="AF5" s="78">
        <v>28</v>
      </c>
      <c r="AG5" s="78">
        <v>29</v>
      </c>
      <c r="AH5" s="78">
        <v>30</v>
      </c>
      <c r="AI5" s="93">
        <v>31</v>
      </c>
      <c r="AJ5" s="32" t="s">
        <v>103</v>
      </c>
      <c r="AK5" s="33" t="s">
        <v>104</v>
      </c>
    </row>
    <row r="6" spans="2:37" x14ac:dyDescent="0.25">
      <c r="B6" s="97">
        <v>1</v>
      </c>
      <c r="C6" s="209" t="s">
        <v>194</v>
      </c>
      <c r="D6" s="209"/>
      <c r="E6" s="98">
        <v>16</v>
      </c>
      <c r="F6" s="98">
        <v>15</v>
      </c>
      <c r="G6" s="98">
        <v>15</v>
      </c>
      <c r="H6" s="98">
        <v>15</v>
      </c>
      <c r="I6" s="98">
        <v>15</v>
      </c>
      <c r="J6" s="98">
        <v>15</v>
      </c>
      <c r="K6" s="98">
        <v>15</v>
      </c>
      <c r="L6" s="98">
        <v>15</v>
      </c>
      <c r="M6" s="98">
        <v>15</v>
      </c>
      <c r="N6" s="98">
        <v>15</v>
      </c>
      <c r="O6" s="98">
        <v>15</v>
      </c>
      <c r="P6" s="98">
        <v>15</v>
      </c>
      <c r="Q6" s="98">
        <v>15</v>
      </c>
      <c r="R6" s="98">
        <v>15</v>
      </c>
      <c r="S6" s="98">
        <v>15</v>
      </c>
      <c r="T6" s="98">
        <v>15</v>
      </c>
      <c r="U6" s="98">
        <v>15</v>
      </c>
      <c r="V6" s="98">
        <v>15</v>
      </c>
      <c r="W6" s="98">
        <v>15</v>
      </c>
      <c r="X6" s="98">
        <v>15</v>
      </c>
      <c r="Y6" s="98">
        <v>15</v>
      </c>
      <c r="Z6" s="98">
        <v>15</v>
      </c>
      <c r="AA6" s="98">
        <v>15</v>
      </c>
      <c r="AB6" s="98">
        <v>15</v>
      </c>
      <c r="AC6" s="98">
        <v>15</v>
      </c>
      <c r="AD6" s="98">
        <v>15</v>
      </c>
      <c r="AE6" s="98"/>
      <c r="AF6" s="98"/>
      <c r="AG6" s="98"/>
      <c r="AH6" s="98"/>
      <c r="AI6" s="98"/>
      <c r="AJ6" s="99"/>
      <c r="AK6" s="100"/>
    </row>
    <row r="7" spans="2:37" x14ac:dyDescent="0.25">
      <c r="B7" s="36">
        <v>2</v>
      </c>
      <c r="C7" s="210" t="s">
        <v>193</v>
      </c>
      <c r="D7" s="210"/>
      <c r="E7" s="79">
        <v>192</v>
      </c>
      <c r="F7" s="79">
        <v>180</v>
      </c>
      <c r="G7" s="79">
        <v>180</v>
      </c>
      <c r="H7" s="79">
        <v>180</v>
      </c>
      <c r="I7" s="79">
        <v>180</v>
      </c>
      <c r="J7" s="79">
        <v>180</v>
      </c>
      <c r="K7" s="79">
        <v>180</v>
      </c>
      <c r="L7" s="79">
        <v>180</v>
      </c>
      <c r="M7" s="79">
        <v>180</v>
      </c>
      <c r="N7" s="79">
        <v>180</v>
      </c>
      <c r="O7" s="79">
        <v>180</v>
      </c>
      <c r="P7" s="79">
        <v>180</v>
      </c>
      <c r="Q7" s="79">
        <v>180</v>
      </c>
      <c r="R7" s="79">
        <v>180</v>
      </c>
      <c r="S7" s="79">
        <v>180</v>
      </c>
      <c r="T7" s="79">
        <v>180</v>
      </c>
      <c r="U7" s="79">
        <v>180</v>
      </c>
      <c r="V7" s="79">
        <v>180</v>
      </c>
      <c r="W7" s="79">
        <v>180</v>
      </c>
      <c r="X7" s="79">
        <v>180</v>
      </c>
      <c r="Y7" s="79">
        <v>180</v>
      </c>
      <c r="Z7" s="79">
        <v>180</v>
      </c>
      <c r="AA7" s="79">
        <v>180</v>
      </c>
      <c r="AB7" s="79">
        <v>180</v>
      </c>
      <c r="AC7" s="79">
        <v>180</v>
      </c>
      <c r="AD7" s="79">
        <v>180</v>
      </c>
      <c r="AE7" s="79"/>
      <c r="AF7" s="79"/>
      <c r="AG7" s="79"/>
      <c r="AH7" s="79"/>
      <c r="AI7" s="79"/>
      <c r="AJ7" s="35">
        <f>SUM(E7:AI7)</f>
        <v>4692</v>
      </c>
      <c r="AK7" s="37"/>
    </row>
    <row r="8" spans="2:37" x14ac:dyDescent="0.25">
      <c r="B8" s="34">
        <v>3</v>
      </c>
      <c r="C8" s="210" t="s">
        <v>105</v>
      </c>
      <c r="D8" s="210"/>
      <c r="E8" s="79">
        <v>0</v>
      </c>
      <c r="F8" s="79">
        <v>0</v>
      </c>
      <c r="G8" s="79">
        <v>0</v>
      </c>
      <c r="H8" s="79">
        <v>0</v>
      </c>
      <c r="I8" s="79">
        <v>0</v>
      </c>
      <c r="J8" s="79">
        <v>0</v>
      </c>
      <c r="K8" s="79">
        <v>0</v>
      </c>
      <c r="L8" s="79">
        <v>0</v>
      </c>
      <c r="M8" s="79">
        <v>0</v>
      </c>
      <c r="N8" s="79">
        <v>0</v>
      </c>
      <c r="O8" s="79">
        <v>0</v>
      </c>
      <c r="P8" s="79">
        <v>0</v>
      </c>
      <c r="Q8" s="79">
        <v>0</v>
      </c>
      <c r="R8" s="79">
        <v>0</v>
      </c>
      <c r="S8" s="79">
        <v>0</v>
      </c>
      <c r="T8" s="79">
        <v>0</v>
      </c>
      <c r="U8" s="79">
        <v>0</v>
      </c>
      <c r="V8" s="79">
        <v>1</v>
      </c>
      <c r="W8" s="79">
        <v>0</v>
      </c>
      <c r="X8" s="79">
        <v>0</v>
      </c>
      <c r="Y8" s="79">
        <v>0</v>
      </c>
      <c r="Z8" s="79">
        <v>0</v>
      </c>
      <c r="AA8" s="79">
        <v>0</v>
      </c>
      <c r="AB8" s="79">
        <v>0</v>
      </c>
      <c r="AC8" s="79">
        <v>0</v>
      </c>
      <c r="AD8" s="79">
        <v>0</v>
      </c>
      <c r="AE8" s="79"/>
      <c r="AF8" s="79"/>
      <c r="AG8" s="79"/>
      <c r="AH8" s="79"/>
      <c r="AI8" s="79"/>
      <c r="AJ8" s="35">
        <f t="shared" ref="AJ8:AJ19" si="0">SUM(E8:AI8)</f>
        <v>1</v>
      </c>
      <c r="AK8" s="37"/>
    </row>
    <row r="9" spans="2:37" x14ac:dyDescent="0.25">
      <c r="B9" s="36">
        <v>4</v>
      </c>
      <c r="C9" s="205" t="s">
        <v>106</v>
      </c>
      <c r="D9" s="205"/>
      <c r="E9" s="79">
        <v>0</v>
      </c>
      <c r="F9" s="79">
        <v>0</v>
      </c>
      <c r="G9" s="79">
        <v>0</v>
      </c>
      <c r="H9" s="79">
        <v>0</v>
      </c>
      <c r="I9" s="79">
        <v>0</v>
      </c>
      <c r="J9" s="79">
        <v>0</v>
      </c>
      <c r="K9" s="79">
        <v>0</v>
      </c>
      <c r="L9" s="79">
        <v>0</v>
      </c>
      <c r="M9" s="79">
        <v>0</v>
      </c>
      <c r="N9" s="79">
        <v>0</v>
      </c>
      <c r="O9" s="79">
        <v>0</v>
      </c>
      <c r="P9" s="79">
        <v>0</v>
      </c>
      <c r="Q9" s="79">
        <v>0</v>
      </c>
      <c r="R9" s="79">
        <v>0</v>
      </c>
      <c r="S9" s="79">
        <v>0</v>
      </c>
      <c r="T9" s="79">
        <v>0</v>
      </c>
      <c r="U9" s="79">
        <v>0</v>
      </c>
      <c r="V9" s="79">
        <v>0</v>
      </c>
      <c r="W9" s="79">
        <v>0</v>
      </c>
      <c r="X9" s="79">
        <v>0</v>
      </c>
      <c r="Y9" s="79">
        <v>0</v>
      </c>
      <c r="Z9" s="79">
        <v>0</v>
      </c>
      <c r="AA9" s="79">
        <v>0</v>
      </c>
      <c r="AB9" s="79">
        <v>0</v>
      </c>
      <c r="AC9" s="79">
        <v>0</v>
      </c>
      <c r="AD9" s="79">
        <v>0</v>
      </c>
      <c r="AE9" s="79"/>
      <c r="AF9" s="79"/>
      <c r="AG9" s="79"/>
      <c r="AH9" s="79"/>
      <c r="AI9" s="79"/>
      <c r="AJ9" s="35">
        <f t="shared" si="0"/>
        <v>0</v>
      </c>
      <c r="AK9" s="37"/>
    </row>
    <row r="10" spans="2:37" x14ac:dyDescent="0.25">
      <c r="B10" s="34">
        <v>5</v>
      </c>
      <c r="C10" s="205" t="s">
        <v>107</v>
      </c>
      <c r="D10" s="205"/>
      <c r="E10" s="79">
        <v>0</v>
      </c>
      <c r="F10" s="79">
        <v>0</v>
      </c>
      <c r="G10" s="79">
        <v>0</v>
      </c>
      <c r="H10" s="79">
        <v>0</v>
      </c>
      <c r="I10" s="79">
        <v>0</v>
      </c>
      <c r="J10" s="79">
        <v>0</v>
      </c>
      <c r="K10" s="79">
        <v>0</v>
      </c>
      <c r="L10" s="79">
        <v>0</v>
      </c>
      <c r="M10" s="79">
        <v>0</v>
      </c>
      <c r="N10" s="79">
        <v>0</v>
      </c>
      <c r="O10" s="79">
        <v>0</v>
      </c>
      <c r="P10" s="79">
        <v>0</v>
      </c>
      <c r="Q10" s="79">
        <v>0</v>
      </c>
      <c r="R10" s="79">
        <v>0</v>
      </c>
      <c r="S10" s="79">
        <v>0</v>
      </c>
      <c r="T10" s="79">
        <v>0</v>
      </c>
      <c r="U10" s="79">
        <v>0</v>
      </c>
      <c r="V10" s="79">
        <v>0</v>
      </c>
      <c r="W10" s="79">
        <v>0</v>
      </c>
      <c r="X10" s="79">
        <v>0</v>
      </c>
      <c r="Y10" s="79">
        <v>0</v>
      </c>
      <c r="Z10" s="79">
        <v>0</v>
      </c>
      <c r="AA10" s="79">
        <v>0</v>
      </c>
      <c r="AB10" s="79">
        <v>0</v>
      </c>
      <c r="AC10" s="79">
        <v>0</v>
      </c>
      <c r="AD10" s="79">
        <v>0</v>
      </c>
      <c r="AE10" s="79"/>
      <c r="AF10" s="79"/>
      <c r="AG10" s="79"/>
      <c r="AH10" s="79"/>
      <c r="AI10" s="79"/>
      <c r="AJ10" s="35">
        <f t="shared" si="0"/>
        <v>0</v>
      </c>
      <c r="AK10" s="37"/>
    </row>
    <row r="11" spans="2:37" x14ac:dyDescent="0.25">
      <c r="B11" s="36">
        <v>6</v>
      </c>
      <c r="C11" s="205" t="s">
        <v>108</v>
      </c>
      <c r="D11" s="205"/>
      <c r="E11" s="79">
        <v>0</v>
      </c>
      <c r="F11" s="79">
        <v>0</v>
      </c>
      <c r="G11" s="79">
        <v>0</v>
      </c>
      <c r="H11" s="79">
        <v>0</v>
      </c>
      <c r="I11" s="79">
        <v>0</v>
      </c>
      <c r="J11" s="79">
        <v>0</v>
      </c>
      <c r="K11" s="79">
        <v>0</v>
      </c>
      <c r="L11" s="79">
        <v>0</v>
      </c>
      <c r="M11" s="79">
        <v>0</v>
      </c>
      <c r="N11" s="79">
        <v>0</v>
      </c>
      <c r="O11" s="79">
        <v>0</v>
      </c>
      <c r="P11" s="79">
        <v>0</v>
      </c>
      <c r="Q11" s="79">
        <v>0</v>
      </c>
      <c r="R11" s="79">
        <v>0</v>
      </c>
      <c r="S11" s="79">
        <v>0</v>
      </c>
      <c r="T11" s="79">
        <v>0</v>
      </c>
      <c r="U11" s="79">
        <v>0</v>
      </c>
      <c r="V11" s="79">
        <v>0</v>
      </c>
      <c r="W11" s="79">
        <v>0</v>
      </c>
      <c r="X11" s="79">
        <v>0</v>
      </c>
      <c r="Y11" s="79">
        <v>0</v>
      </c>
      <c r="Z11" s="79">
        <v>0</v>
      </c>
      <c r="AA11" s="79">
        <v>0</v>
      </c>
      <c r="AB11" s="79">
        <v>0</v>
      </c>
      <c r="AC11" s="79">
        <v>0</v>
      </c>
      <c r="AD11" s="79">
        <v>0</v>
      </c>
      <c r="AE11" s="79"/>
      <c r="AF11" s="79"/>
      <c r="AG11" s="79"/>
      <c r="AH11" s="79"/>
      <c r="AI11" s="79"/>
      <c r="AJ11" s="35">
        <f t="shared" si="0"/>
        <v>0</v>
      </c>
      <c r="AK11" s="37"/>
    </row>
    <row r="12" spans="2:37" x14ac:dyDescent="0.25">
      <c r="B12" s="34">
        <v>7</v>
      </c>
      <c r="C12" s="205" t="s">
        <v>109</v>
      </c>
      <c r="D12" s="205"/>
      <c r="E12" s="79">
        <v>0</v>
      </c>
      <c r="F12" s="79">
        <v>0</v>
      </c>
      <c r="G12" s="79">
        <v>0</v>
      </c>
      <c r="H12" s="79">
        <v>0</v>
      </c>
      <c r="I12" s="79">
        <v>0</v>
      </c>
      <c r="J12" s="79">
        <v>0</v>
      </c>
      <c r="K12" s="79">
        <v>0</v>
      </c>
      <c r="L12" s="79">
        <v>0</v>
      </c>
      <c r="M12" s="79">
        <v>0</v>
      </c>
      <c r="N12" s="79">
        <v>0</v>
      </c>
      <c r="O12" s="79">
        <v>0</v>
      </c>
      <c r="P12" s="79">
        <v>0</v>
      </c>
      <c r="Q12" s="79">
        <v>0</v>
      </c>
      <c r="R12" s="79">
        <v>0</v>
      </c>
      <c r="S12" s="79">
        <v>0</v>
      </c>
      <c r="T12" s="79">
        <v>0</v>
      </c>
      <c r="U12" s="79">
        <v>0</v>
      </c>
      <c r="V12" s="79">
        <v>0</v>
      </c>
      <c r="W12" s="79">
        <v>0</v>
      </c>
      <c r="X12" s="79">
        <v>0</v>
      </c>
      <c r="Y12" s="79">
        <v>0</v>
      </c>
      <c r="Z12" s="79">
        <v>0</v>
      </c>
      <c r="AA12" s="79">
        <v>0</v>
      </c>
      <c r="AB12" s="79">
        <v>0</v>
      </c>
      <c r="AC12" s="79">
        <v>0</v>
      </c>
      <c r="AD12" s="79">
        <v>0</v>
      </c>
      <c r="AE12" s="79"/>
      <c r="AF12" s="79"/>
      <c r="AG12" s="79"/>
      <c r="AH12" s="79"/>
      <c r="AI12" s="79"/>
      <c r="AJ12" s="35">
        <f t="shared" si="0"/>
        <v>0</v>
      </c>
      <c r="AK12" s="37"/>
    </row>
    <row r="13" spans="2:37" x14ac:dyDescent="0.25">
      <c r="B13" s="36">
        <v>8</v>
      </c>
      <c r="C13" s="212" t="s">
        <v>110</v>
      </c>
      <c r="D13" s="213"/>
      <c r="E13" s="79">
        <v>0</v>
      </c>
      <c r="F13" s="79">
        <v>0</v>
      </c>
      <c r="G13" s="79">
        <v>0</v>
      </c>
      <c r="H13" s="79">
        <v>0</v>
      </c>
      <c r="I13" s="79">
        <v>0</v>
      </c>
      <c r="J13" s="79">
        <v>0</v>
      </c>
      <c r="K13" s="79">
        <v>0</v>
      </c>
      <c r="L13" s="79">
        <v>0</v>
      </c>
      <c r="M13" s="79">
        <v>0</v>
      </c>
      <c r="N13" s="79">
        <v>0</v>
      </c>
      <c r="O13" s="79">
        <v>0</v>
      </c>
      <c r="P13" s="79">
        <v>0</v>
      </c>
      <c r="Q13" s="79">
        <v>0</v>
      </c>
      <c r="R13" s="79">
        <v>0</v>
      </c>
      <c r="S13" s="79">
        <v>0</v>
      </c>
      <c r="T13" s="79">
        <v>0</v>
      </c>
      <c r="U13" s="79">
        <v>0</v>
      </c>
      <c r="V13" s="79">
        <v>0</v>
      </c>
      <c r="W13" s="79">
        <v>0</v>
      </c>
      <c r="X13" s="79">
        <v>0</v>
      </c>
      <c r="Y13" s="79">
        <v>0</v>
      </c>
      <c r="Z13" s="79">
        <v>0</v>
      </c>
      <c r="AA13" s="79">
        <v>0</v>
      </c>
      <c r="AB13" s="79">
        <v>0</v>
      </c>
      <c r="AC13" s="79">
        <v>0</v>
      </c>
      <c r="AD13" s="79">
        <v>0</v>
      </c>
      <c r="AE13" s="79"/>
      <c r="AF13" s="79"/>
      <c r="AG13" s="79"/>
      <c r="AH13" s="79"/>
      <c r="AI13" s="79"/>
      <c r="AJ13" s="35">
        <f t="shared" si="0"/>
        <v>0</v>
      </c>
      <c r="AK13" s="37"/>
    </row>
    <row r="14" spans="2:37" x14ac:dyDescent="0.25">
      <c r="B14" s="36">
        <v>9</v>
      </c>
      <c r="C14" s="205" t="s">
        <v>111</v>
      </c>
      <c r="D14" s="205"/>
      <c r="E14" s="79">
        <v>0</v>
      </c>
      <c r="F14" s="79">
        <v>0</v>
      </c>
      <c r="G14" s="79">
        <v>0</v>
      </c>
      <c r="H14" s="79">
        <v>0</v>
      </c>
      <c r="I14" s="79">
        <v>0</v>
      </c>
      <c r="J14" s="79">
        <v>0</v>
      </c>
      <c r="K14" s="79">
        <v>0</v>
      </c>
      <c r="L14" s="79">
        <v>0</v>
      </c>
      <c r="M14" s="79">
        <v>0</v>
      </c>
      <c r="N14" s="79">
        <v>0</v>
      </c>
      <c r="O14" s="79">
        <v>0</v>
      </c>
      <c r="P14" s="79">
        <v>0</v>
      </c>
      <c r="Q14" s="79">
        <v>0</v>
      </c>
      <c r="R14" s="79">
        <v>0</v>
      </c>
      <c r="S14" s="79">
        <v>0</v>
      </c>
      <c r="T14" s="79">
        <v>0</v>
      </c>
      <c r="U14" s="79">
        <v>0</v>
      </c>
      <c r="V14" s="79">
        <v>0</v>
      </c>
      <c r="W14" s="79">
        <v>0</v>
      </c>
      <c r="X14" s="79">
        <v>0</v>
      </c>
      <c r="Y14" s="79">
        <v>0</v>
      </c>
      <c r="Z14" s="79">
        <v>0</v>
      </c>
      <c r="AA14" s="79">
        <v>0</v>
      </c>
      <c r="AB14" s="79">
        <v>0</v>
      </c>
      <c r="AC14" s="79">
        <v>0</v>
      </c>
      <c r="AD14" s="79">
        <v>0</v>
      </c>
      <c r="AE14" s="79"/>
      <c r="AF14" s="79"/>
      <c r="AG14" s="79"/>
      <c r="AH14" s="79"/>
      <c r="AI14" s="79"/>
      <c r="AJ14" s="35">
        <f t="shared" si="0"/>
        <v>0</v>
      </c>
      <c r="AK14" s="37"/>
    </row>
    <row r="15" spans="2:37" x14ac:dyDescent="0.25">
      <c r="B15" s="34">
        <v>10</v>
      </c>
      <c r="C15" s="214" t="s">
        <v>112</v>
      </c>
      <c r="D15" s="214"/>
      <c r="E15" s="79">
        <v>4</v>
      </c>
      <c r="F15" s="79">
        <v>4</v>
      </c>
      <c r="G15" s="79">
        <v>4</v>
      </c>
      <c r="H15" s="79">
        <v>4</v>
      </c>
      <c r="I15" s="79">
        <v>4</v>
      </c>
      <c r="J15" s="79">
        <v>4</v>
      </c>
      <c r="K15" s="79">
        <v>4</v>
      </c>
      <c r="L15" s="79">
        <v>4</v>
      </c>
      <c r="M15" s="79">
        <v>4</v>
      </c>
      <c r="N15" s="79">
        <v>4</v>
      </c>
      <c r="O15" s="79">
        <v>4</v>
      </c>
      <c r="P15" s="79">
        <v>4</v>
      </c>
      <c r="Q15" s="79">
        <v>4</v>
      </c>
      <c r="R15" s="79">
        <v>4</v>
      </c>
      <c r="S15" s="79">
        <v>4</v>
      </c>
      <c r="T15" s="79">
        <v>4</v>
      </c>
      <c r="U15" s="79">
        <v>4</v>
      </c>
      <c r="V15" s="79">
        <v>4</v>
      </c>
      <c r="W15" s="79">
        <v>4</v>
      </c>
      <c r="X15" s="79">
        <v>4</v>
      </c>
      <c r="Y15" s="79">
        <v>4</v>
      </c>
      <c r="Z15" s="79">
        <v>4</v>
      </c>
      <c r="AA15" s="79">
        <v>4</v>
      </c>
      <c r="AB15" s="79">
        <v>4</v>
      </c>
      <c r="AC15" s="79">
        <v>4</v>
      </c>
      <c r="AD15" s="79">
        <v>4</v>
      </c>
      <c r="AE15" s="79"/>
      <c r="AF15" s="79"/>
      <c r="AG15" s="79"/>
      <c r="AH15" s="79"/>
      <c r="AI15" s="79"/>
      <c r="AJ15" s="35">
        <f t="shared" si="0"/>
        <v>104</v>
      </c>
      <c r="AK15" s="37"/>
    </row>
    <row r="16" spans="2:37" x14ac:dyDescent="0.25">
      <c r="B16" s="36">
        <v>11</v>
      </c>
      <c r="C16" s="214" t="s">
        <v>113</v>
      </c>
      <c r="D16" s="214"/>
      <c r="E16" s="79">
        <v>0</v>
      </c>
      <c r="F16" s="79">
        <v>0</v>
      </c>
      <c r="G16" s="79">
        <v>0</v>
      </c>
      <c r="H16" s="79">
        <v>0</v>
      </c>
      <c r="I16" s="79">
        <v>0</v>
      </c>
      <c r="J16" s="79">
        <v>0</v>
      </c>
      <c r="K16" s="79">
        <v>0</v>
      </c>
      <c r="L16" s="79">
        <v>0</v>
      </c>
      <c r="M16" s="79">
        <v>0</v>
      </c>
      <c r="N16" s="79">
        <v>0</v>
      </c>
      <c r="O16" s="79">
        <v>0</v>
      </c>
      <c r="P16" s="79">
        <v>0</v>
      </c>
      <c r="Q16" s="79">
        <v>0</v>
      </c>
      <c r="R16" s="79">
        <v>0</v>
      </c>
      <c r="S16" s="79">
        <v>0</v>
      </c>
      <c r="T16" s="79">
        <v>0</v>
      </c>
      <c r="U16" s="79">
        <v>0</v>
      </c>
      <c r="V16" s="79">
        <v>0</v>
      </c>
      <c r="W16" s="79">
        <v>0</v>
      </c>
      <c r="X16" s="79">
        <v>0</v>
      </c>
      <c r="Y16" s="79">
        <v>0</v>
      </c>
      <c r="Z16" s="79">
        <v>0</v>
      </c>
      <c r="AA16" s="79">
        <v>0</v>
      </c>
      <c r="AB16" s="79">
        <v>0</v>
      </c>
      <c r="AC16" s="79">
        <v>0</v>
      </c>
      <c r="AD16" s="79">
        <v>0</v>
      </c>
      <c r="AE16" s="79"/>
      <c r="AF16" s="79"/>
      <c r="AG16" s="79"/>
      <c r="AH16" s="79"/>
      <c r="AI16" s="79"/>
      <c r="AJ16" s="35">
        <f t="shared" si="0"/>
        <v>0</v>
      </c>
      <c r="AK16" s="38"/>
    </row>
    <row r="17" spans="2:37" x14ac:dyDescent="0.25">
      <c r="B17" s="34">
        <v>12</v>
      </c>
      <c r="C17" s="214" t="s">
        <v>114</v>
      </c>
      <c r="D17" s="214"/>
      <c r="E17" s="79">
        <v>0</v>
      </c>
      <c r="F17" s="79">
        <v>0</v>
      </c>
      <c r="G17" s="79">
        <v>0</v>
      </c>
      <c r="H17" s="79">
        <v>0</v>
      </c>
      <c r="I17" s="79">
        <v>0</v>
      </c>
      <c r="J17" s="79">
        <v>0</v>
      </c>
      <c r="K17" s="79">
        <v>0</v>
      </c>
      <c r="L17" s="79">
        <v>0</v>
      </c>
      <c r="M17" s="79">
        <v>0</v>
      </c>
      <c r="N17" s="79">
        <v>0</v>
      </c>
      <c r="O17" s="79">
        <v>0</v>
      </c>
      <c r="P17" s="79">
        <v>0</v>
      </c>
      <c r="Q17" s="79">
        <v>0</v>
      </c>
      <c r="R17" s="79">
        <v>0</v>
      </c>
      <c r="S17" s="79">
        <v>0</v>
      </c>
      <c r="T17" s="79">
        <v>0</v>
      </c>
      <c r="U17" s="79">
        <v>0</v>
      </c>
      <c r="V17" s="79">
        <v>0</v>
      </c>
      <c r="W17" s="79">
        <v>0</v>
      </c>
      <c r="X17" s="79">
        <v>0</v>
      </c>
      <c r="Y17" s="79">
        <v>0</v>
      </c>
      <c r="Z17" s="79">
        <v>0</v>
      </c>
      <c r="AA17" s="79">
        <v>0</v>
      </c>
      <c r="AB17" s="79">
        <v>0</v>
      </c>
      <c r="AC17" s="79">
        <v>0</v>
      </c>
      <c r="AD17" s="79">
        <v>0</v>
      </c>
      <c r="AE17" s="79"/>
      <c r="AF17" s="79"/>
      <c r="AG17" s="79"/>
      <c r="AH17" s="79"/>
      <c r="AI17" s="79"/>
      <c r="AJ17" s="35">
        <f t="shared" si="0"/>
        <v>0</v>
      </c>
      <c r="AK17" s="37"/>
    </row>
    <row r="18" spans="2:37" x14ac:dyDescent="0.25">
      <c r="B18" s="36">
        <v>13</v>
      </c>
      <c r="C18" s="214" t="s">
        <v>115</v>
      </c>
      <c r="D18" s="214"/>
      <c r="E18" s="79">
        <v>0</v>
      </c>
      <c r="F18" s="79">
        <v>0</v>
      </c>
      <c r="G18" s="79">
        <v>0</v>
      </c>
      <c r="H18" s="79">
        <v>0</v>
      </c>
      <c r="I18" s="79">
        <v>0</v>
      </c>
      <c r="J18" s="79">
        <v>0</v>
      </c>
      <c r="K18" s="79">
        <v>0</v>
      </c>
      <c r="L18" s="79">
        <v>0</v>
      </c>
      <c r="M18" s="79">
        <v>0</v>
      </c>
      <c r="N18" s="79">
        <v>0</v>
      </c>
      <c r="O18" s="79">
        <v>0</v>
      </c>
      <c r="P18" s="79">
        <v>0</v>
      </c>
      <c r="Q18" s="79">
        <v>0</v>
      </c>
      <c r="R18" s="79">
        <v>0</v>
      </c>
      <c r="S18" s="79">
        <v>0</v>
      </c>
      <c r="T18" s="79">
        <v>0</v>
      </c>
      <c r="U18" s="79">
        <v>0</v>
      </c>
      <c r="V18" s="79">
        <v>0</v>
      </c>
      <c r="W18" s="79">
        <v>0</v>
      </c>
      <c r="X18" s="79">
        <v>0</v>
      </c>
      <c r="Y18" s="79">
        <v>0</v>
      </c>
      <c r="Z18" s="79">
        <v>0</v>
      </c>
      <c r="AA18" s="79">
        <v>0</v>
      </c>
      <c r="AB18" s="79">
        <v>0</v>
      </c>
      <c r="AC18" s="79">
        <v>0</v>
      </c>
      <c r="AD18" s="79">
        <v>0</v>
      </c>
      <c r="AE18" s="79"/>
      <c r="AF18" s="79"/>
      <c r="AG18" s="79"/>
      <c r="AH18" s="79"/>
      <c r="AI18" s="79"/>
      <c r="AJ18" s="35">
        <f t="shared" si="0"/>
        <v>0</v>
      </c>
      <c r="AK18" s="37"/>
    </row>
    <row r="19" spans="2:37" ht="15.75" thickBot="1" x14ac:dyDescent="0.3">
      <c r="B19" s="39">
        <v>14</v>
      </c>
      <c r="C19" s="211" t="s">
        <v>116</v>
      </c>
      <c r="D19" s="211"/>
      <c r="E19" s="80">
        <v>0</v>
      </c>
      <c r="F19" s="80">
        <v>0</v>
      </c>
      <c r="G19" s="80">
        <v>0</v>
      </c>
      <c r="H19" s="80">
        <v>0</v>
      </c>
      <c r="I19" s="80">
        <v>0</v>
      </c>
      <c r="J19" s="80">
        <v>0</v>
      </c>
      <c r="K19" s="80">
        <v>0</v>
      </c>
      <c r="L19" s="80">
        <v>0</v>
      </c>
      <c r="M19" s="80">
        <v>0</v>
      </c>
      <c r="N19" s="80">
        <v>0</v>
      </c>
      <c r="O19" s="80">
        <v>0</v>
      </c>
      <c r="P19" s="80">
        <v>0</v>
      </c>
      <c r="Q19" s="80">
        <v>0</v>
      </c>
      <c r="R19" s="80">
        <v>0</v>
      </c>
      <c r="S19" s="80">
        <v>0</v>
      </c>
      <c r="T19" s="80">
        <v>0</v>
      </c>
      <c r="U19" s="80">
        <v>0</v>
      </c>
      <c r="V19" s="80">
        <v>0</v>
      </c>
      <c r="W19" s="80">
        <v>0</v>
      </c>
      <c r="X19" s="80">
        <v>0</v>
      </c>
      <c r="Y19" s="80">
        <v>0</v>
      </c>
      <c r="Z19" s="80">
        <v>0</v>
      </c>
      <c r="AA19" s="80">
        <v>0</v>
      </c>
      <c r="AB19" s="80">
        <v>0</v>
      </c>
      <c r="AC19" s="80">
        <v>0</v>
      </c>
      <c r="AD19" s="80">
        <v>0</v>
      </c>
      <c r="AE19" s="80"/>
      <c r="AF19" s="80"/>
      <c r="AG19" s="80"/>
      <c r="AH19" s="80"/>
      <c r="AI19" s="80"/>
      <c r="AJ19" s="85">
        <f t="shared" si="0"/>
        <v>0</v>
      </c>
      <c r="AK19" s="40"/>
    </row>
    <row r="21" spans="2:37" x14ac:dyDescent="0.25">
      <c r="B21" s="31" t="s">
        <v>117</v>
      </c>
    </row>
    <row r="22" spans="2:37" x14ac:dyDescent="0.25">
      <c r="B22" s="41" t="s">
        <v>118</v>
      </c>
    </row>
    <row r="23" spans="2:37" x14ac:dyDescent="0.25">
      <c r="B23" s="41" t="s">
        <v>119</v>
      </c>
    </row>
    <row r="24" spans="2:37" x14ac:dyDescent="0.25">
      <c r="B24" s="41" t="s">
        <v>120</v>
      </c>
    </row>
    <row r="25" spans="2:37" x14ac:dyDescent="0.25">
      <c r="B25" s="41" t="s">
        <v>121</v>
      </c>
    </row>
    <row r="26" spans="2:37" x14ac:dyDescent="0.25">
      <c r="B26" s="42" t="s">
        <v>122</v>
      </c>
    </row>
    <row r="27" spans="2:37" x14ac:dyDescent="0.25">
      <c r="B27" s="41"/>
    </row>
  </sheetData>
  <mergeCells count="19">
    <mergeCell ref="C19:D19"/>
    <mergeCell ref="C13:D13"/>
    <mergeCell ref="C14:D14"/>
    <mergeCell ref="C15:D15"/>
    <mergeCell ref="C16:D16"/>
    <mergeCell ref="C17:D17"/>
    <mergeCell ref="C18:D18"/>
    <mergeCell ref="C12:D12"/>
    <mergeCell ref="C3:T3"/>
    <mergeCell ref="U3:AA3"/>
    <mergeCell ref="AB3:AJ3"/>
    <mergeCell ref="E4:AJ4"/>
    <mergeCell ref="C5:D5"/>
    <mergeCell ref="C6:D6"/>
    <mergeCell ref="C7:D7"/>
    <mergeCell ref="C8:D8"/>
    <mergeCell ref="C9:D9"/>
    <mergeCell ref="C10:D10"/>
    <mergeCell ref="C11:D1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DPR-XXX</vt:lpstr>
      <vt:lpstr>Technical Info</vt:lpstr>
      <vt:lpstr>HSE Statistics</vt:lpstr>
      <vt:lpstr>'DPR-XXX'!Print_Area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2006-09-28T05:33:49Z</dcterms:created>
  <dcterms:modified xsi:type="dcterms:W3CDTF">2026-06-26T21:51:29Z</dcterms:modified>
</cp:coreProperties>
</file>